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2023" sheetId="1" r:id="rId1"/>
    <sheet name="2024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C137" i="2" l="1"/>
  <c r="F132" i="2"/>
  <c r="E132" i="2"/>
  <c r="D132" i="2"/>
  <c r="C132" i="2"/>
  <c r="G131" i="2"/>
  <c r="G130" i="2"/>
  <c r="G129" i="2"/>
  <c r="G128" i="2"/>
  <c r="G127" i="2"/>
  <c r="G126" i="2"/>
  <c r="G125" i="2"/>
  <c r="G132" i="2" s="1"/>
  <c r="F122" i="2"/>
  <c r="E122" i="2"/>
  <c r="D122" i="2"/>
  <c r="C122" i="2"/>
  <c r="G121" i="2"/>
  <c r="G120" i="2"/>
  <c r="G119" i="2"/>
  <c r="G118" i="2"/>
  <c r="G117" i="2"/>
  <c r="G116" i="2"/>
  <c r="G115" i="2"/>
  <c r="G122" i="2" s="1"/>
  <c r="F112" i="2"/>
  <c r="E112" i="2"/>
  <c r="D112" i="2"/>
  <c r="C112" i="2"/>
  <c r="G111" i="2"/>
  <c r="G110" i="2"/>
  <c r="G109" i="2"/>
  <c r="G108" i="2"/>
  <c r="G107" i="2"/>
  <c r="G106" i="2"/>
  <c r="G105" i="2"/>
  <c r="G112" i="2" s="1"/>
  <c r="C156" i="2"/>
  <c r="F102" i="2"/>
  <c r="E102" i="2"/>
  <c r="D102" i="2"/>
  <c r="C102" i="2"/>
  <c r="G101" i="2"/>
  <c r="G100" i="2"/>
  <c r="G99" i="2"/>
  <c r="G98" i="2"/>
  <c r="G97" i="2"/>
  <c r="G96" i="2"/>
  <c r="G95" i="2"/>
  <c r="G102" i="2" s="1"/>
  <c r="G85" i="2"/>
  <c r="G86" i="2"/>
  <c r="G87" i="2"/>
  <c r="G88" i="2"/>
  <c r="G89" i="2"/>
  <c r="G90" i="2"/>
  <c r="G91" i="2"/>
  <c r="C92" i="2"/>
  <c r="D92" i="2"/>
  <c r="E92" i="2"/>
  <c r="F92" i="2"/>
  <c r="G76" i="2"/>
  <c r="G77" i="2"/>
  <c r="G78" i="2"/>
  <c r="G79" i="2"/>
  <c r="G80" i="2"/>
  <c r="G81" i="2"/>
  <c r="G75" i="2"/>
  <c r="F82" i="2"/>
  <c r="E82" i="2"/>
  <c r="D82" i="2"/>
  <c r="C82" i="2"/>
  <c r="G72" i="2"/>
  <c r="F72" i="2"/>
  <c r="E72" i="2"/>
  <c r="D72" i="2"/>
  <c r="C72" i="2"/>
  <c r="G60" i="2"/>
  <c r="F60" i="2"/>
  <c r="E60" i="2"/>
  <c r="D60" i="2"/>
  <c r="C60" i="2"/>
  <c r="G48" i="2"/>
  <c r="F48" i="2"/>
  <c r="E48" i="2"/>
  <c r="D48" i="2"/>
  <c r="C48" i="2"/>
  <c r="G36" i="2"/>
  <c r="F36" i="2"/>
  <c r="E36" i="2"/>
  <c r="D36" i="2"/>
  <c r="C36" i="2"/>
  <c r="G24" i="2"/>
  <c r="F24" i="2"/>
  <c r="E24" i="2"/>
  <c r="D24" i="2"/>
  <c r="C24" i="2"/>
  <c r="C12" i="2"/>
  <c r="D12" i="2"/>
  <c r="E12" i="2"/>
  <c r="F12" i="2"/>
  <c r="F134" i="2" s="1"/>
  <c r="D137" i="2" s="1"/>
  <c r="G12" i="2"/>
  <c r="D95" i="1"/>
  <c r="D94" i="1"/>
  <c r="D92" i="1"/>
  <c r="D91" i="1"/>
  <c r="C96" i="1"/>
  <c r="B96" i="1"/>
  <c r="B89" i="1"/>
  <c r="C58" i="1"/>
  <c r="C40" i="1"/>
  <c r="D40" i="1"/>
  <c r="E40" i="1"/>
  <c r="F40" i="1"/>
  <c r="C61" i="1" s="1"/>
  <c r="C70" i="1" s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6" i="1"/>
  <c r="G15" i="1"/>
  <c r="G14" i="1"/>
  <c r="G13" i="1"/>
  <c r="G12" i="1"/>
  <c r="G11" i="1"/>
  <c r="E137" i="2" l="1"/>
  <c r="G92" i="2"/>
  <c r="G82" i="2"/>
  <c r="G40" i="1"/>
  <c r="G42" i="1" s="1"/>
  <c r="H42" i="1" s="1"/>
</calcChain>
</file>

<file path=xl/sharedStrings.xml><?xml version="1.0" encoding="utf-8"?>
<sst xmlns="http://schemas.openxmlformats.org/spreadsheetml/2006/main" count="293" uniqueCount="79">
  <si>
    <t>Абишева Клара Мухамедияровна</t>
  </si>
  <si>
    <t>Айкенова Рыскельды</t>
  </si>
  <si>
    <t>Акошева Маржан Касымовна</t>
  </si>
  <si>
    <t>Нургазина Айман Бекеновна</t>
  </si>
  <si>
    <t>Нурманов Алмас Маратбекович</t>
  </si>
  <si>
    <t>Смоилов Самат Жумагалиевич</t>
  </si>
  <si>
    <t>Умирзакова Ляззат Амантаевна</t>
  </si>
  <si>
    <t>Иманқұл Айжан Нұртасқызы</t>
  </si>
  <si>
    <t>август</t>
  </si>
  <si>
    <t>сентябрь</t>
  </si>
  <si>
    <t>октябрь</t>
  </si>
  <si>
    <t>ноябрь</t>
  </si>
  <si>
    <t>декабрь</t>
  </si>
  <si>
    <t>ВОСМС</t>
  </si>
  <si>
    <t>ОПВ</t>
  </si>
  <si>
    <t>ИПН</t>
  </si>
  <si>
    <t>Начислено</t>
  </si>
  <si>
    <t>на руки</t>
  </si>
  <si>
    <t>ТОО "Азия 2023"</t>
  </si>
  <si>
    <t>канц тов и комп принтер по гранту наука</t>
  </si>
  <si>
    <t>Индивидуальный предприниматель"Джекебаева Г А"</t>
  </si>
  <si>
    <t>Индивидуальный предприниматель "Аубакирова К.С"</t>
  </si>
  <si>
    <t xml:space="preserve"> предоплата в размере 100% согласно договора наука</t>
  </si>
  <si>
    <t>ТОО"Агенство Премьер"</t>
  </si>
  <si>
    <t>Абишева К М,Нургазина А, с 31 августа по 9 сентября Астана-Алматы-Астана/наука</t>
  </si>
  <si>
    <t xml:space="preserve"> Абишева К М за проживание в гостинице/наука</t>
  </si>
  <si>
    <t>Абишева К С суточные /наука</t>
  </si>
  <si>
    <t>Нургазина А Б за проживание в гостиниц/наука</t>
  </si>
  <si>
    <t>Нургазина А Б суточные /наука</t>
  </si>
  <si>
    <t>Абишева К М в подотчет на командировочные расходы /наука</t>
  </si>
  <si>
    <t>Акошева М К в подотчет на командировочные расходы/наука</t>
  </si>
  <si>
    <t xml:space="preserve"> Нургазина А Б  командировочные расходы г.Павлодар  /наука</t>
  </si>
  <si>
    <t>Смоилов С Ж командировочные расходы г.Семей /наука</t>
  </si>
  <si>
    <t>Нурманов А  командировочные расходы г.Семей  /наука</t>
  </si>
  <si>
    <t>итого</t>
  </si>
  <si>
    <t>9 358 479,75</t>
  </si>
  <si>
    <t>7 486 783,80</t>
  </si>
  <si>
    <t>1 871 695,95</t>
  </si>
  <si>
    <t>поступило</t>
  </si>
  <si>
    <t>не использ.</t>
  </si>
  <si>
    <t>за заправка и обслуживание катриджей/наука</t>
  </si>
  <si>
    <t>командировки</t>
  </si>
  <si>
    <t>Акошева М К возмещение за оплату публикация /наука 20тыс убрали</t>
  </si>
  <si>
    <t>11 918  681,5</t>
  </si>
  <si>
    <t>1 592 210</t>
  </si>
  <si>
    <t>1 390 000</t>
  </si>
  <si>
    <t>январь</t>
  </si>
  <si>
    <t>Итого</t>
  </si>
  <si>
    <t>Январь</t>
  </si>
  <si>
    <t>Февраль</t>
  </si>
  <si>
    <t>Март</t>
  </si>
  <si>
    <t>Апрель</t>
  </si>
  <si>
    <t>Май</t>
  </si>
  <si>
    <t>ГУ Комитет науки Министерства образования и науки</t>
  </si>
  <si>
    <t xml:space="preserve"> Согласнодоговора №204/23-25 от 03.08.2023г. Уведомление № 7449547 от 26.01.2024г.</t>
  </si>
  <si>
    <t>Грибинча Диана Георгиевна</t>
  </si>
  <si>
    <t>Идрисова Мапруза Акимбековна</t>
  </si>
  <si>
    <t>Июнь</t>
  </si>
  <si>
    <t>Июль</t>
  </si>
  <si>
    <t>Кумарова Асель Маратовна</t>
  </si>
  <si>
    <t>Август</t>
  </si>
  <si>
    <t>Сентябрь</t>
  </si>
  <si>
    <t>Индивидуальный предприниматель "DELTASMART"</t>
  </si>
  <si>
    <t>за бумага А4,заправка и обслуживание катриджей,обслуживание комп техники /наука</t>
  </si>
  <si>
    <t>Абишева К М в подотчет на командировочные расходы (суточные,проживание)  /наука</t>
  </si>
  <si>
    <t>Нургазина А Б в подотчет на командировочные расходы (суточные,проживание)  /наука</t>
  </si>
  <si>
    <t>Нургазина А Б в подотчет на командировочные расходы (билеты)  /наука</t>
  </si>
  <si>
    <t>Абишева К М в подотчет на командировочные расходы (билеты,суточные,проживание,виза,страховка)  /наука</t>
  </si>
  <si>
    <t>НургазинаА Б в подотчет на командировочные расходы (билеты,суточные,проживание,виза,страховка)/наука</t>
  </si>
  <si>
    <t>Акошева М К в подотчет на командировочные расходы(билеты,суточные,проживание,виза,страховка)/наука</t>
  </si>
  <si>
    <t>оплату научной статьи в журнале BILINGUAL PUBBLISHING/наука</t>
  </si>
  <si>
    <t xml:space="preserve"> Абишева К М в подотчет на оплату научной статьи в АО КазУМО и МЯ им Абылайхана /наука</t>
  </si>
  <si>
    <t>за коллективная монография,учебное пособие,проведение конференции/наука оплата за статьи</t>
  </si>
  <si>
    <t>Индивидуальный предприниматель "717"</t>
  </si>
  <si>
    <t xml:space="preserve">  Абишева К М в подотчет на оплату научной статьи в журналах/наука   </t>
  </si>
  <si>
    <t xml:space="preserve">Нургазина А Б в подотчет на оплату научной статьи в журналах/наука   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</si>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</sst>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9" x14ac:knownFonts="1">
    <font>
      <sz val="11"/>
      <color theme="1"/>
      <name val="Calibri"/>
      <family val="2"/>
      <charset val="204"/>
      <scheme val="minor"/>
    </font>
    <font>
      <sz val="9"/>
      <name val="Arial"/>
    </font>
    <font>
      <b/>
      <sz val="11"/>
      <color theme="1"/>
      <name val="Calibri"/>
      <family val="2"/>
      <charset val="204"/>
      <scheme val="minor"/>
    </font>
    <font>
      <sz val="9"/>
      <color indexed="24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</font>
    <font>
      <sz val="9"/>
      <color rgb="FF000000"/>
      <name val="Times New Roman"/>
      <family val="1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8"/>
        <bgColor indexed="64"/>
      </patternFill>
    </fill>
  </fills>
  <borders count="15">
    <border>
      <left/>
      <right/>
      <top/>
      <bottom/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6"/>
      </left>
      <right style="thin">
        <color indexed="26"/>
      </right>
      <top style="thin">
        <color indexed="64"/>
      </top>
      <bottom/>
      <diagonal/>
    </border>
    <border>
      <left style="thin">
        <color indexed="26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6"/>
      </left>
      <right style="thin">
        <color indexed="26"/>
      </right>
      <top/>
      <bottom/>
      <diagonal/>
    </border>
    <border>
      <left style="thin">
        <color indexed="26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NumberFormat="1" applyFont="1" applyFill="1" applyBorder="1" applyAlignment="1">
      <alignment vertical="top" wrapText="1" indent="2"/>
    </xf>
    <xf numFmtId="0" fontId="1" fillId="2" borderId="1" xfId="0" applyNumberFormat="1" applyFont="1" applyFill="1" applyBorder="1" applyAlignment="1">
      <alignment horizontal="righ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0" fontId="1" fillId="3" borderId="1" xfId="0" applyNumberFormat="1" applyFont="1" applyFill="1" applyBorder="1" applyAlignment="1">
      <alignment vertical="top" wrapText="1" indent="2"/>
    </xf>
    <xf numFmtId="4" fontId="1" fillId="3" borderId="1" xfId="0" applyNumberFormat="1" applyFont="1" applyFill="1" applyBorder="1" applyAlignment="1">
      <alignment horizontal="right" vertical="top" wrapText="1"/>
    </xf>
    <xf numFmtId="0" fontId="1" fillId="3" borderId="1" xfId="0" applyNumberFormat="1" applyFont="1" applyFill="1" applyBorder="1" applyAlignment="1">
      <alignment horizontal="right" vertical="top" wrapText="1"/>
    </xf>
    <xf numFmtId="0" fontId="1" fillId="4" borderId="1" xfId="0" applyNumberFormat="1" applyFont="1" applyFill="1" applyBorder="1" applyAlignment="1">
      <alignment vertical="top" wrapText="1" indent="2"/>
    </xf>
    <xf numFmtId="0" fontId="1" fillId="4" borderId="1" xfId="0" applyNumberFormat="1" applyFont="1" applyFill="1" applyBorder="1" applyAlignment="1">
      <alignment horizontal="right" vertical="top" wrapText="1"/>
    </xf>
    <xf numFmtId="4" fontId="1" fillId="4" borderId="1" xfId="0" applyNumberFormat="1" applyFont="1" applyFill="1" applyBorder="1" applyAlignment="1">
      <alignment horizontal="right" vertical="top" wrapText="1"/>
    </xf>
    <xf numFmtId="0" fontId="1" fillId="5" borderId="1" xfId="0" applyNumberFormat="1" applyFont="1" applyFill="1" applyBorder="1" applyAlignment="1">
      <alignment vertical="top" wrapText="1" indent="2"/>
    </xf>
    <xf numFmtId="0" fontId="1" fillId="5" borderId="1" xfId="0" applyNumberFormat="1" applyFont="1" applyFill="1" applyBorder="1" applyAlignment="1">
      <alignment horizontal="right" vertical="top" wrapText="1"/>
    </xf>
    <xf numFmtId="4" fontId="1" fillId="5" borderId="1" xfId="0" applyNumberFormat="1" applyFont="1" applyFill="1" applyBorder="1" applyAlignment="1">
      <alignment horizontal="right" vertical="top" wrapText="1"/>
    </xf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0" fillId="0" borderId="4" xfId="0" applyBorder="1"/>
    <xf numFmtId="16" fontId="0" fillId="0" borderId="4" xfId="0" applyNumberFormat="1" applyBorder="1"/>
    <xf numFmtId="0" fontId="2" fillId="0" borderId="4" xfId="0" applyFont="1" applyBorder="1"/>
    <xf numFmtId="4" fontId="6" fillId="0" borderId="5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3" fontId="6" fillId="0" borderId="5" xfId="0" applyNumberFormat="1" applyFont="1" applyBorder="1" applyAlignment="1">
      <alignment horizontal="center" wrapText="1"/>
    </xf>
    <xf numFmtId="43" fontId="6" fillId="0" borderId="0" xfId="1" applyFont="1" applyFill="1" applyBorder="1" applyAlignment="1">
      <alignment horizontal="center" wrapText="1"/>
    </xf>
    <xf numFmtId="43" fontId="0" fillId="0" borderId="0" xfId="1" applyFont="1"/>
    <xf numFmtId="4" fontId="5" fillId="0" borderId="0" xfId="0" applyNumberFormat="1" applyFont="1" applyAlignment="1">
      <alignment wrapText="1"/>
    </xf>
    <xf numFmtId="43" fontId="0" fillId="0" borderId="0" xfId="0" applyNumberFormat="1"/>
    <xf numFmtId="4" fontId="1" fillId="4" borderId="0" xfId="0" applyNumberFormat="1" applyFont="1" applyFill="1" applyBorder="1" applyAlignment="1">
      <alignment horizontal="right" vertical="top" wrapText="1"/>
    </xf>
    <xf numFmtId="4" fontId="0" fillId="4" borderId="0" xfId="0" applyNumberFormat="1" applyFill="1"/>
    <xf numFmtId="0" fontId="0" fillId="0" borderId="8" xfId="0" applyBorder="1"/>
    <xf numFmtId="0" fontId="0" fillId="0" borderId="11" xfId="0" applyBorder="1"/>
    <xf numFmtId="0" fontId="1" fillId="0" borderId="4" xfId="0" applyNumberFormat="1" applyFont="1" applyFill="1" applyBorder="1" applyAlignment="1">
      <alignment vertical="top" wrapText="1" indent="2"/>
    </xf>
    <xf numFmtId="0" fontId="7" fillId="0" borderId="14" xfId="0" applyNumberFormat="1" applyFont="1" applyFill="1" applyBorder="1" applyAlignment="1">
      <alignment vertical="top" wrapText="1" indent="2"/>
    </xf>
    <xf numFmtId="0" fontId="8" fillId="0" borderId="14" xfId="0" applyNumberFormat="1" applyFont="1" applyFill="1" applyBorder="1" applyAlignment="1">
      <alignment vertical="top" wrapText="1" indent="2"/>
    </xf>
    <xf numFmtId="0" fontId="3" fillId="6" borderId="2" xfId="0" applyNumberFormat="1" applyFont="1" applyFill="1" applyBorder="1" applyAlignment="1">
      <alignment vertical="top" wrapText="1"/>
    </xf>
    <xf numFmtId="0" fontId="3" fillId="6" borderId="3" xfId="0" applyNumberFormat="1" applyFont="1" applyFill="1" applyBorder="1" applyAlignment="1">
      <alignment vertical="top" wrapText="1"/>
    </xf>
    <xf numFmtId="3" fontId="6" fillId="0" borderId="7" xfId="0" applyNumberFormat="1" applyFont="1" applyBorder="1" applyAlignment="1">
      <alignment horizontal="center" wrapText="1"/>
    </xf>
    <xf numFmtId="3" fontId="6" fillId="0" borderId="6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3" fillId="6" borderId="9" xfId="0" applyNumberFormat="1" applyFont="1" applyFill="1" applyBorder="1" applyAlignment="1">
      <alignment vertical="top" wrapText="1"/>
    </xf>
    <xf numFmtId="0" fontId="3" fillId="6" borderId="12" xfId="0" applyNumberFormat="1" applyFont="1" applyFill="1" applyBorder="1" applyAlignment="1">
      <alignment vertical="top" wrapText="1"/>
    </xf>
    <xf numFmtId="0" fontId="3" fillId="6" borderId="10" xfId="0" applyNumberFormat="1" applyFont="1" applyFill="1" applyBorder="1" applyAlignment="1">
      <alignment vertical="top" wrapText="1"/>
    </xf>
    <xf numFmtId="0" fontId="3" fillId="6" borderId="13" xfId="0" applyNumberFormat="1" applyFont="1" applyFill="1" applyBorder="1" applyAlignment="1">
      <alignment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abSelected="1" workbookViewId="0">
      <selection activeCell="G42" sqref="G42"/>
    </sheetView>
  </sheetViews>
  <sheetFormatPr defaultRowHeight="15" x14ac:dyDescent="0.25"/>
  <cols>
    <col min="2" max="2" width="48" customWidth="1"/>
    <col min="3" max="3" width="24.28515625" customWidth="1"/>
    <col min="4" max="4" width="17" customWidth="1"/>
    <col min="5" max="5" width="14.140625" customWidth="1"/>
    <col min="6" max="6" width="14.7109375" customWidth="1"/>
    <col min="7" max="7" width="18.5703125" customWidth="1"/>
  </cols>
  <sheetData>
    <row r="1" spans="1:7" x14ac:dyDescent="0.25">
      <c r="C1" s="34" t="s">
        <v>13</v>
      </c>
      <c r="D1" s="34" t="s">
        <v>14</v>
      </c>
      <c r="E1" s="34" t="s">
        <v>15</v>
      </c>
      <c r="F1" s="34" t="s">
        <v>16</v>
      </c>
      <c r="G1" s="34" t="s">
        <v>17</v>
      </c>
    </row>
    <row r="2" spans="1:7" x14ac:dyDescent="0.25">
      <c r="C2" s="35"/>
      <c r="D2" s="35"/>
      <c r="E2" s="35"/>
      <c r="F2" s="35"/>
      <c r="G2" s="35"/>
    </row>
    <row r="3" spans="1:7" x14ac:dyDescent="0.25">
      <c r="A3" t="s">
        <v>8</v>
      </c>
      <c r="B3" s="1" t="s">
        <v>0</v>
      </c>
      <c r="C3" s="2"/>
      <c r="D3" s="2"/>
      <c r="E3" s="2">
        <v>135583.4</v>
      </c>
      <c r="F3" s="3">
        <v>1355834</v>
      </c>
      <c r="G3" s="3">
        <v>1220250.6000000001</v>
      </c>
    </row>
    <row r="4" spans="1:7" x14ac:dyDescent="0.25">
      <c r="B4" s="1" t="s">
        <v>1</v>
      </c>
      <c r="C4" s="2"/>
      <c r="D4" s="2"/>
      <c r="E4" s="2">
        <v>20280</v>
      </c>
      <c r="F4" s="3">
        <v>202800</v>
      </c>
      <c r="G4" s="3">
        <v>182520</v>
      </c>
    </row>
    <row r="5" spans="1:7" x14ac:dyDescent="0.25">
      <c r="B5" s="1" t="s">
        <v>2</v>
      </c>
      <c r="C5" s="2"/>
      <c r="D5" s="2"/>
      <c r="E5" s="2">
        <v>45600</v>
      </c>
      <c r="F5" s="3">
        <v>456000</v>
      </c>
      <c r="G5" s="3">
        <v>361152</v>
      </c>
    </row>
    <row r="6" spans="1:7" x14ac:dyDescent="0.25">
      <c r="B6" s="1" t="s">
        <v>7</v>
      </c>
      <c r="C6" s="2">
        <v>9600</v>
      </c>
      <c r="D6" s="2">
        <v>48000</v>
      </c>
      <c r="E6" s="2">
        <v>42240</v>
      </c>
      <c r="F6" s="3">
        <v>480000</v>
      </c>
      <c r="G6" s="3">
        <v>380160</v>
      </c>
    </row>
    <row r="7" spans="1:7" x14ac:dyDescent="0.25">
      <c r="B7" s="1" t="s">
        <v>3</v>
      </c>
      <c r="C7" s="2">
        <v>10000</v>
      </c>
      <c r="D7" s="2">
        <v>50000</v>
      </c>
      <c r="E7" s="2">
        <v>44000</v>
      </c>
      <c r="F7" s="3">
        <v>500000</v>
      </c>
      <c r="G7" s="3">
        <v>396000</v>
      </c>
    </row>
    <row r="8" spans="1:7" x14ac:dyDescent="0.25">
      <c r="B8" s="1" t="s">
        <v>4</v>
      </c>
      <c r="C8" s="2">
        <v>1334</v>
      </c>
      <c r="D8" s="2">
        <v>36800</v>
      </c>
      <c r="E8" s="2">
        <v>32386</v>
      </c>
      <c r="F8" s="3">
        <v>368000</v>
      </c>
      <c r="G8" s="3">
        <v>294768</v>
      </c>
    </row>
    <row r="9" spans="1:7" x14ac:dyDescent="0.25">
      <c r="B9" s="1" t="s">
        <v>5</v>
      </c>
      <c r="C9" s="2">
        <v>7360</v>
      </c>
      <c r="D9" s="2">
        <v>36800</v>
      </c>
      <c r="E9" s="2">
        <v>32384</v>
      </c>
      <c r="F9" s="3">
        <v>368000</v>
      </c>
      <c r="G9" s="3">
        <v>291456</v>
      </c>
    </row>
    <row r="10" spans="1:7" x14ac:dyDescent="0.25">
      <c r="B10" s="1" t="s">
        <v>6</v>
      </c>
      <c r="C10" s="2">
        <v>4560</v>
      </c>
      <c r="D10" s="2">
        <v>22800</v>
      </c>
      <c r="E10" s="2">
        <v>20064</v>
      </c>
      <c r="F10" s="3">
        <v>228000</v>
      </c>
      <c r="G10" s="3">
        <v>180576</v>
      </c>
    </row>
    <row r="11" spans="1:7" x14ac:dyDescent="0.25">
      <c r="A11" t="s">
        <v>9</v>
      </c>
      <c r="B11" s="4" t="s">
        <v>0</v>
      </c>
      <c r="C11" s="4"/>
      <c r="D11" s="4"/>
      <c r="E11" s="4">
        <v>67791.7</v>
      </c>
      <c r="F11" s="5">
        <v>677917</v>
      </c>
      <c r="G11" s="5">
        <f>F11-C11-D11-E11</f>
        <v>610125.30000000005</v>
      </c>
    </row>
    <row r="12" spans="1:7" x14ac:dyDescent="0.25">
      <c r="B12" s="4" t="s">
        <v>1</v>
      </c>
      <c r="C12" s="4"/>
      <c r="D12" s="4"/>
      <c r="E12" s="4">
        <v>10140</v>
      </c>
      <c r="F12" s="5">
        <v>101400</v>
      </c>
      <c r="G12" s="5">
        <f t="shared" ref="G12:G18" si="0">F12-C12-D12-E12</f>
        <v>91260</v>
      </c>
    </row>
    <row r="13" spans="1:7" x14ac:dyDescent="0.25">
      <c r="B13" s="4" t="s">
        <v>2</v>
      </c>
      <c r="C13" s="4"/>
      <c r="D13" s="4"/>
      <c r="E13" s="4">
        <v>22800</v>
      </c>
      <c r="F13" s="5">
        <v>277248</v>
      </c>
      <c r="G13" s="5">
        <f t="shared" si="0"/>
        <v>254448</v>
      </c>
    </row>
    <row r="14" spans="1:7" x14ac:dyDescent="0.25">
      <c r="B14" s="4" t="s">
        <v>7</v>
      </c>
      <c r="C14" s="4">
        <v>4800</v>
      </c>
      <c r="D14" s="4">
        <v>24000</v>
      </c>
      <c r="E14" s="6">
        <v>21120</v>
      </c>
      <c r="F14" s="5">
        <v>240000</v>
      </c>
      <c r="G14" s="5">
        <f t="shared" si="0"/>
        <v>190080</v>
      </c>
    </row>
    <row r="15" spans="1:7" x14ac:dyDescent="0.25">
      <c r="B15" s="4" t="s">
        <v>3</v>
      </c>
      <c r="C15" s="4">
        <v>5000</v>
      </c>
      <c r="D15" s="4">
        <v>25000</v>
      </c>
      <c r="E15" s="6">
        <v>22000</v>
      </c>
      <c r="F15" s="5">
        <v>250000</v>
      </c>
      <c r="G15" s="5">
        <f t="shared" si="0"/>
        <v>198000</v>
      </c>
    </row>
    <row r="16" spans="1:7" x14ac:dyDescent="0.25">
      <c r="B16" s="4" t="s">
        <v>4</v>
      </c>
      <c r="C16" s="4">
        <v>1334</v>
      </c>
      <c r="D16" s="4">
        <v>18400</v>
      </c>
      <c r="E16" s="6">
        <v>16426.599999999999</v>
      </c>
      <c r="F16" s="5">
        <v>184000</v>
      </c>
      <c r="G16" s="5">
        <f t="shared" si="0"/>
        <v>147839.4</v>
      </c>
    </row>
    <row r="17" spans="1:7" x14ac:dyDescent="0.25">
      <c r="B17" s="4" t="s">
        <v>5</v>
      </c>
      <c r="C17" s="4">
        <v>2744</v>
      </c>
      <c r="D17" s="4">
        <v>18400</v>
      </c>
      <c r="E17" s="6">
        <v>16285.6</v>
      </c>
      <c r="F17" s="5">
        <v>184000</v>
      </c>
      <c r="G17" s="5">
        <v>145728</v>
      </c>
    </row>
    <row r="18" spans="1:7" x14ac:dyDescent="0.25">
      <c r="B18" s="4" t="s">
        <v>6</v>
      </c>
      <c r="C18" s="4">
        <v>2280</v>
      </c>
      <c r="D18" s="4">
        <v>11400</v>
      </c>
      <c r="E18" s="6">
        <v>10032</v>
      </c>
      <c r="F18" s="5">
        <v>114000</v>
      </c>
      <c r="G18" s="5">
        <f t="shared" si="0"/>
        <v>90288</v>
      </c>
    </row>
    <row r="19" spans="1:7" x14ac:dyDescent="0.25">
      <c r="A19" t="s">
        <v>10</v>
      </c>
      <c r="B19" s="7" t="s">
        <v>0</v>
      </c>
      <c r="C19" s="8"/>
      <c r="D19" s="8"/>
      <c r="E19" s="8">
        <v>67791.7</v>
      </c>
      <c r="F19" s="9">
        <v>677917</v>
      </c>
      <c r="G19" s="9">
        <f>F19-C19-D19-E19</f>
        <v>610125.30000000005</v>
      </c>
    </row>
    <row r="20" spans="1:7" x14ac:dyDescent="0.25">
      <c r="B20" s="7" t="s">
        <v>1</v>
      </c>
      <c r="C20" s="8"/>
      <c r="D20" s="8"/>
      <c r="E20" s="8">
        <v>14940</v>
      </c>
      <c r="F20" s="9">
        <v>149400</v>
      </c>
      <c r="G20" s="9">
        <f t="shared" ref="G20:G25" si="1">F20-C20-D20-E20</f>
        <v>134460</v>
      </c>
    </row>
    <row r="21" spans="1:7" x14ac:dyDescent="0.25">
      <c r="B21" s="7" t="s">
        <v>2</v>
      </c>
      <c r="C21" s="8"/>
      <c r="D21" s="8"/>
      <c r="E21" s="8">
        <v>22800</v>
      </c>
      <c r="F21" s="9">
        <v>228000</v>
      </c>
      <c r="G21" s="9">
        <f t="shared" si="1"/>
        <v>205200</v>
      </c>
    </row>
    <row r="22" spans="1:7" x14ac:dyDescent="0.25">
      <c r="B22" s="7" t="s">
        <v>3</v>
      </c>
      <c r="C22" s="8">
        <v>5000</v>
      </c>
      <c r="D22" s="8">
        <v>25000</v>
      </c>
      <c r="E22" s="8">
        <v>22000</v>
      </c>
      <c r="F22" s="9">
        <v>250000</v>
      </c>
      <c r="G22" s="9">
        <f t="shared" si="1"/>
        <v>198000</v>
      </c>
    </row>
    <row r="23" spans="1:7" x14ac:dyDescent="0.25">
      <c r="B23" s="7" t="s">
        <v>4</v>
      </c>
      <c r="C23" s="8">
        <v>1334</v>
      </c>
      <c r="D23" s="8">
        <v>25600</v>
      </c>
      <c r="E23" s="8">
        <v>22906.6</v>
      </c>
      <c r="F23" s="9">
        <v>256000</v>
      </c>
      <c r="G23" s="9">
        <f t="shared" si="1"/>
        <v>206159.4</v>
      </c>
    </row>
    <row r="24" spans="1:7" x14ac:dyDescent="0.25">
      <c r="B24" s="7" t="s">
        <v>5</v>
      </c>
      <c r="C24" s="8">
        <v>2744</v>
      </c>
      <c r="D24" s="8">
        <v>25600</v>
      </c>
      <c r="E24" s="8">
        <v>22765.599999999999</v>
      </c>
      <c r="F24" s="9">
        <v>256000</v>
      </c>
      <c r="G24" s="9">
        <f t="shared" si="1"/>
        <v>204890.4</v>
      </c>
    </row>
    <row r="25" spans="1:7" x14ac:dyDescent="0.25">
      <c r="B25" s="7" t="s">
        <v>6</v>
      </c>
      <c r="C25" s="8">
        <v>2912</v>
      </c>
      <c r="D25" s="8">
        <v>14558.4</v>
      </c>
      <c r="E25" s="8">
        <v>12811.36</v>
      </c>
      <c r="F25" s="9">
        <v>145584</v>
      </c>
      <c r="G25" s="9">
        <f t="shared" si="1"/>
        <v>115302.24</v>
      </c>
    </row>
    <row r="26" spans="1:7" x14ac:dyDescent="0.25">
      <c r="A26" t="s">
        <v>11</v>
      </c>
      <c r="B26" s="10" t="s">
        <v>0</v>
      </c>
      <c r="C26" s="11"/>
      <c r="D26" s="11"/>
      <c r="E26" s="11">
        <v>67791.7</v>
      </c>
      <c r="F26" s="12">
        <v>677917</v>
      </c>
      <c r="G26" s="12">
        <f>F26-C26-D26-E26</f>
        <v>610125.30000000005</v>
      </c>
    </row>
    <row r="27" spans="1:7" x14ac:dyDescent="0.25">
      <c r="B27" s="10" t="s">
        <v>1</v>
      </c>
      <c r="C27" s="11"/>
      <c r="D27" s="11"/>
      <c r="E27" s="11">
        <v>14940</v>
      </c>
      <c r="F27" s="12">
        <v>149400</v>
      </c>
      <c r="G27" s="12">
        <f t="shared" ref="G27:G32" si="2">F27-C27-D27-E27</f>
        <v>134460</v>
      </c>
    </row>
    <row r="28" spans="1:7" x14ac:dyDescent="0.25">
      <c r="B28" s="10" t="s">
        <v>2</v>
      </c>
      <c r="C28" s="11"/>
      <c r="D28" s="11"/>
      <c r="E28" s="11">
        <v>22800</v>
      </c>
      <c r="F28" s="12">
        <v>228000</v>
      </c>
      <c r="G28" s="12">
        <f t="shared" si="2"/>
        <v>205200</v>
      </c>
    </row>
    <row r="29" spans="1:7" x14ac:dyDescent="0.25">
      <c r="B29" s="10" t="s">
        <v>3</v>
      </c>
      <c r="C29" s="11">
        <v>5000</v>
      </c>
      <c r="D29" s="11">
        <v>25000</v>
      </c>
      <c r="E29" s="11">
        <v>22000</v>
      </c>
      <c r="F29" s="12">
        <v>250000</v>
      </c>
      <c r="G29" s="12">
        <f t="shared" si="2"/>
        <v>198000</v>
      </c>
    </row>
    <row r="30" spans="1:7" x14ac:dyDescent="0.25">
      <c r="B30" s="10" t="s">
        <v>4</v>
      </c>
      <c r="C30" s="11">
        <v>1334</v>
      </c>
      <c r="D30" s="11">
        <v>25600</v>
      </c>
      <c r="E30" s="11">
        <v>22906.6</v>
      </c>
      <c r="F30" s="12">
        <v>256000</v>
      </c>
      <c r="G30" s="12">
        <f t="shared" si="2"/>
        <v>206159.4</v>
      </c>
    </row>
    <row r="31" spans="1:7" x14ac:dyDescent="0.25">
      <c r="B31" s="10" t="s">
        <v>5</v>
      </c>
      <c r="C31" s="11">
        <v>2744</v>
      </c>
      <c r="D31" s="11">
        <v>25600</v>
      </c>
      <c r="E31" s="11">
        <v>22765.599999999999</v>
      </c>
      <c r="F31" s="12">
        <v>256000</v>
      </c>
      <c r="G31" s="12">
        <f t="shared" si="2"/>
        <v>204890.4</v>
      </c>
    </row>
    <row r="32" spans="1:7" x14ac:dyDescent="0.25">
      <c r="B32" s="10" t="s">
        <v>6</v>
      </c>
      <c r="C32" s="11">
        <v>2912</v>
      </c>
      <c r="D32" s="11">
        <v>14558.4</v>
      </c>
      <c r="E32" s="11">
        <v>12811.36</v>
      </c>
      <c r="F32" s="12">
        <v>145584</v>
      </c>
      <c r="G32" s="12">
        <f t="shared" si="2"/>
        <v>115302.24</v>
      </c>
    </row>
    <row r="33" spans="1:8" x14ac:dyDescent="0.25">
      <c r="A33" t="s">
        <v>12</v>
      </c>
      <c r="B33" s="7" t="s">
        <v>0</v>
      </c>
      <c r="C33" s="8"/>
      <c r="D33" s="8"/>
      <c r="E33" s="8">
        <v>72069.600000000006</v>
      </c>
      <c r="F33" s="9">
        <v>720696</v>
      </c>
      <c r="G33" s="9">
        <f>F33-C33-D33-E33</f>
        <v>648626.4</v>
      </c>
    </row>
    <row r="34" spans="1:8" x14ac:dyDescent="0.25">
      <c r="B34" s="7" t="s">
        <v>1</v>
      </c>
      <c r="C34" s="8"/>
      <c r="D34" s="8"/>
      <c r="E34" s="8">
        <v>14940</v>
      </c>
      <c r="F34" s="9">
        <v>149400</v>
      </c>
      <c r="G34" s="9">
        <f t="shared" ref="G34:G39" si="3">F34-C34-D34-E34</f>
        <v>134460</v>
      </c>
    </row>
    <row r="35" spans="1:8" x14ac:dyDescent="0.25">
      <c r="B35" s="7" t="s">
        <v>2</v>
      </c>
      <c r="C35" s="8"/>
      <c r="D35" s="8"/>
      <c r="E35" s="8">
        <v>22800</v>
      </c>
      <c r="F35" s="9">
        <v>228000</v>
      </c>
      <c r="G35" s="9">
        <f t="shared" si="3"/>
        <v>205200</v>
      </c>
    </row>
    <row r="36" spans="1:8" x14ac:dyDescent="0.25">
      <c r="B36" s="7" t="s">
        <v>3</v>
      </c>
      <c r="C36" s="8">
        <v>5000</v>
      </c>
      <c r="D36" s="8">
        <v>25000</v>
      </c>
      <c r="E36" s="8">
        <v>22000</v>
      </c>
      <c r="F36" s="9">
        <v>250000</v>
      </c>
      <c r="G36" s="9">
        <f t="shared" si="3"/>
        <v>198000</v>
      </c>
    </row>
    <row r="37" spans="1:8" x14ac:dyDescent="0.25">
      <c r="B37" s="7" t="s">
        <v>4</v>
      </c>
      <c r="C37" s="8">
        <v>1334</v>
      </c>
      <c r="D37" s="8">
        <v>25600</v>
      </c>
      <c r="E37" s="8">
        <v>22906.6</v>
      </c>
      <c r="F37" s="9">
        <v>256000</v>
      </c>
      <c r="G37" s="9">
        <f t="shared" si="3"/>
        <v>206159.4</v>
      </c>
    </row>
    <row r="38" spans="1:8" x14ac:dyDescent="0.25">
      <c r="B38" s="7" t="s">
        <v>5</v>
      </c>
      <c r="C38" s="8">
        <v>2744</v>
      </c>
      <c r="D38" s="8">
        <v>25600</v>
      </c>
      <c r="E38" s="8">
        <v>22765.599999999999</v>
      </c>
      <c r="F38" s="9">
        <v>256000</v>
      </c>
      <c r="G38" s="9">
        <f t="shared" si="3"/>
        <v>204890.4</v>
      </c>
    </row>
    <row r="39" spans="1:8" x14ac:dyDescent="0.25">
      <c r="B39" s="7" t="s">
        <v>6</v>
      </c>
      <c r="C39" s="8">
        <v>2912</v>
      </c>
      <c r="D39" s="8">
        <v>14558.4</v>
      </c>
      <c r="E39" s="8">
        <v>12811.36</v>
      </c>
      <c r="F39" s="9">
        <v>145584</v>
      </c>
      <c r="G39" s="9">
        <f t="shared" si="3"/>
        <v>115302.24</v>
      </c>
    </row>
    <row r="40" spans="1:8" x14ac:dyDescent="0.25">
      <c r="C40" s="13">
        <f>SUM(C3:C39)</f>
        <v>84982</v>
      </c>
      <c r="D40" s="13">
        <f>SUM(D3:D39)</f>
        <v>563875.20000000007</v>
      </c>
      <c r="E40" s="13">
        <f>SUM(E3:E39)</f>
        <v>1121456.9800000002</v>
      </c>
      <c r="F40" s="14">
        <f>SUM(F3:F39)</f>
        <v>11918681</v>
      </c>
      <c r="G40" s="14">
        <f>SUM(G3:G39)</f>
        <v>10095564.420000004</v>
      </c>
    </row>
    <row r="41" spans="1:8" x14ac:dyDescent="0.25">
      <c r="F41" s="27">
        <v>11918681.5</v>
      </c>
    </row>
    <row r="42" spans="1:8" x14ac:dyDescent="0.25">
      <c r="G42" s="15">
        <f>F41-G40</f>
        <v>1823117.0799999963</v>
      </c>
      <c r="H42" s="28">
        <f>G42-G43</f>
        <v>57080.799999996321</v>
      </c>
    </row>
    <row r="43" spans="1:8" x14ac:dyDescent="0.25">
      <c r="G43">
        <v>1766036.28</v>
      </c>
    </row>
    <row r="44" spans="1:8" x14ac:dyDescent="0.25">
      <c r="B44" s="16" t="s">
        <v>18</v>
      </c>
      <c r="C44" s="16">
        <v>1592210</v>
      </c>
      <c r="D44" t="s">
        <v>19</v>
      </c>
    </row>
    <row r="45" spans="1:8" x14ac:dyDescent="0.25">
      <c r="B45" s="16" t="s">
        <v>20</v>
      </c>
      <c r="C45" s="16">
        <v>1390000</v>
      </c>
      <c r="D45" t="s">
        <v>22</v>
      </c>
    </row>
    <row r="46" spans="1:8" x14ac:dyDescent="0.25">
      <c r="B46" s="16" t="s">
        <v>21</v>
      </c>
      <c r="C46" s="16">
        <v>206492</v>
      </c>
      <c r="D46" t="s">
        <v>40</v>
      </c>
    </row>
    <row r="47" spans="1:8" x14ac:dyDescent="0.25">
      <c r="B47" s="16" t="s">
        <v>23</v>
      </c>
      <c r="C47" s="16">
        <v>167748</v>
      </c>
      <c r="D47" t="s">
        <v>24</v>
      </c>
    </row>
    <row r="48" spans="1:8" x14ac:dyDescent="0.25">
      <c r="B48" s="16"/>
      <c r="C48" s="16">
        <v>162000</v>
      </c>
      <c r="D48" t="s">
        <v>25</v>
      </c>
    </row>
    <row r="49" spans="1:6" x14ac:dyDescent="0.25">
      <c r="B49" s="16"/>
      <c r="C49" s="16">
        <v>124200</v>
      </c>
      <c r="D49" t="s">
        <v>26</v>
      </c>
    </row>
    <row r="50" spans="1:6" x14ac:dyDescent="0.25">
      <c r="B50" s="16"/>
      <c r="C50" s="16">
        <v>162000</v>
      </c>
      <c r="D50" t="s">
        <v>27</v>
      </c>
    </row>
    <row r="51" spans="1:6" x14ac:dyDescent="0.25">
      <c r="B51" s="16"/>
      <c r="C51" s="16">
        <v>124200</v>
      </c>
      <c r="D51" t="s">
        <v>28</v>
      </c>
    </row>
    <row r="52" spans="1:6" x14ac:dyDescent="0.25">
      <c r="B52" s="16"/>
      <c r="C52" s="16"/>
      <c r="D52" t="s">
        <v>42</v>
      </c>
    </row>
    <row r="53" spans="1:6" x14ac:dyDescent="0.25">
      <c r="B53" s="16"/>
      <c r="C53" s="16">
        <v>1293674</v>
      </c>
      <c r="D53" t="s">
        <v>29</v>
      </c>
    </row>
    <row r="54" spans="1:6" x14ac:dyDescent="0.25">
      <c r="B54" s="16"/>
      <c r="C54" s="16">
        <v>1293674</v>
      </c>
      <c r="D54" t="s">
        <v>30</v>
      </c>
    </row>
    <row r="55" spans="1:6" x14ac:dyDescent="0.25">
      <c r="B55" s="16"/>
      <c r="C55" s="16">
        <v>70240</v>
      </c>
      <c r="D55" t="s">
        <v>31</v>
      </c>
    </row>
    <row r="56" spans="1:6" x14ac:dyDescent="0.25">
      <c r="B56" s="16"/>
      <c r="C56" s="16">
        <v>105920</v>
      </c>
      <c r="D56" t="s">
        <v>32</v>
      </c>
    </row>
    <row r="57" spans="1:6" x14ac:dyDescent="0.25">
      <c r="B57" s="16"/>
      <c r="C57" s="16">
        <v>105920</v>
      </c>
      <c r="D57" t="s">
        <v>33</v>
      </c>
    </row>
    <row r="58" spans="1:6" x14ac:dyDescent="0.25">
      <c r="B58" s="16"/>
      <c r="C58" s="18">
        <f>SUM(C44:C57)</f>
        <v>6798278</v>
      </c>
    </row>
    <row r="59" spans="1:6" x14ac:dyDescent="0.25">
      <c r="E59">
        <v>3609576</v>
      </c>
      <c r="F59" t="s">
        <v>41</v>
      </c>
    </row>
    <row r="61" spans="1:6" x14ac:dyDescent="0.25">
      <c r="B61" t="s">
        <v>34</v>
      </c>
      <c r="C61" s="14">
        <f>F40+C58</f>
        <v>18716959</v>
      </c>
    </row>
    <row r="62" spans="1:6" x14ac:dyDescent="0.25">
      <c r="D62" s="15"/>
    </row>
    <row r="64" spans="1:6" x14ac:dyDescent="0.25">
      <c r="A64" s="17">
        <v>45162</v>
      </c>
      <c r="B64" s="16" t="s">
        <v>35</v>
      </c>
    </row>
    <row r="65" spans="1:4" x14ac:dyDescent="0.25">
      <c r="A65" s="17">
        <v>45232</v>
      </c>
      <c r="B65" s="16" t="s">
        <v>36</v>
      </c>
    </row>
    <row r="66" spans="1:4" x14ac:dyDescent="0.25">
      <c r="A66" s="17">
        <v>45280</v>
      </c>
      <c r="B66" s="16" t="s">
        <v>37</v>
      </c>
    </row>
    <row r="67" spans="1:4" x14ac:dyDescent="0.25">
      <c r="B67" s="13">
        <v>18716959.5</v>
      </c>
      <c r="C67" s="13" t="s">
        <v>38</v>
      </c>
    </row>
    <row r="70" spans="1:4" x14ac:dyDescent="0.25">
      <c r="C70" s="15">
        <f>B67-C61</f>
        <v>0.5</v>
      </c>
      <c r="D70" t="s">
        <v>39</v>
      </c>
    </row>
    <row r="83" spans="2:4" ht="15.75" thickBot="1" x14ac:dyDescent="0.3">
      <c r="B83" s="19">
        <v>11875902.5</v>
      </c>
      <c r="C83" s="20" t="s">
        <v>43</v>
      </c>
      <c r="D83" s="25"/>
    </row>
    <row r="84" spans="2:4" x14ac:dyDescent="0.25">
      <c r="B84" s="36">
        <v>3610160</v>
      </c>
      <c r="C84" s="38">
        <v>3609576</v>
      </c>
      <c r="D84" s="21"/>
    </row>
    <row r="85" spans="2:4" ht="15.75" thickBot="1" x14ac:dyDescent="0.3">
      <c r="B85" s="37"/>
      <c r="C85" s="39"/>
      <c r="D85" s="21"/>
    </row>
    <row r="86" spans="2:4" ht="15.75" thickBot="1" x14ac:dyDescent="0.3">
      <c r="B86" s="22">
        <v>206492</v>
      </c>
      <c r="C86" s="22">
        <v>206492</v>
      </c>
      <c r="D86" s="21"/>
    </row>
    <row r="87" spans="2:4" ht="15.75" thickBot="1" x14ac:dyDescent="0.3">
      <c r="B87" s="22">
        <v>1623853</v>
      </c>
      <c r="C87" s="20" t="s">
        <v>44</v>
      </c>
      <c r="D87" s="21"/>
    </row>
    <row r="88" spans="2:4" ht="15.75" thickBot="1" x14ac:dyDescent="0.3">
      <c r="B88" s="22">
        <v>1400552</v>
      </c>
      <c r="C88" s="20" t="s">
        <v>45</v>
      </c>
    </row>
    <row r="89" spans="2:4" x14ac:dyDescent="0.25">
      <c r="B89" s="15">
        <f>SUM(B83:B88)</f>
        <v>18716959.5</v>
      </c>
    </row>
    <row r="91" spans="2:4" x14ac:dyDescent="0.25">
      <c r="B91" s="23">
        <v>11875902.5</v>
      </c>
      <c r="C91" s="24">
        <v>11918681.5</v>
      </c>
      <c r="D91" s="26">
        <f>C91-B91</f>
        <v>42779</v>
      </c>
    </row>
    <row r="92" spans="2:4" x14ac:dyDescent="0.25">
      <c r="B92" s="23">
        <v>3610160</v>
      </c>
      <c r="C92" s="24">
        <v>3609576</v>
      </c>
      <c r="D92" s="26">
        <f>B92-C92</f>
        <v>584</v>
      </c>
    </row>
    <row r="93" spans="2:4" x14ac:dyDescent="0.25">
      <c r="B93" s="23">
        <v>206492</v>
      </c>
      <c r="C93" s="24">
        <v>206492</v>
      </c>
    </row>
    <row r="94" spans="2:4" x14ac:dyDescent="0.25">
      <c r="B94" s="23">
        <v>1623853</v>
      </c>
      <c r="C94" s="24">
        <v>1592210</v>
      </c>
      <c r="D94" s="26">
        <f>B94-C94</f>
        <v>31643</v>
      </c>
    </row>
    <row r="95" spans="2:4" x14ac:dyDescent="0.25">
      <c r="B95" s="23">
        <v>1400552</v>
      </c>
      <c r="C95" s="24">
        <v>1390000</v>
      </c>
      <c r="D95" s="26">
        <f>B95-C95</f>
        <v>10552</v>
      </c>
    </row>
    <row r="96" spans="2:4" x14ac:dyDescent="0.25">
      <c r="B96" s="24">
        <f>SUM(B91:B95)</f>
        <v>18716959.5</v>
      </c>
      <c r="C96" s="24">
        <f>SUM(C91:C95)</f>
        <v>18716959.5</v>
      </c>
      <c r="D96">
        <v>0</v>
      </c>
    </row>
  </sheetData>
  <mergeCells count="7">
    <mergeCell ref="F1:F2"/>
    <mergeCell ref="G1:G2"/>
    <mergeCell ref="B84:B85"/>
    <mergeCell ref="C84:C85"/>
    <mergeCell ref="C1:C2"/>
    <mergeCell ref="D1:D2"/>
    <mergeCell ref="E1:E2"/>
  </mergeCells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opLeftCell="A104" workbookViewId="0">
      <selection activeCell="C132" sqref="C132:E132"/>
    </sheetView>
  </sheetViews>
  <sheetFormatPr defaultRowHeight="15" x14ac:dyDescent="0.25"/>
  <cols>
    <col min="2" max="2" width="50.5703125" customWidth="1"/>
    <col min="3" max="3" width="19.28515625" customWidth="1"/>
    <col min="4" max="4" width="15.85546875" customWidth="1"/>
    <col min="5" max="5" width="13" customWidth="1"/>
    <col min="6" max="6" width="17.85546875" customWidth="1"/>
    <col min="7" max="7" width="12.7109375" customWidth="1"/>
  </cols>
  <sheetData>
    <row r="1" spans="1:7" x14ac:dyDescent="0.25">
      <c r="B1" s="29"/>
      <c r="C1" s="40" t="s">
        <v>13</v>
      </c>
      <c r="D1" s="40" t="s">
        <v>14</v>
      </c>
      <c r="E1" s="40" t="s">
        <v>15</v>
      </c>
      <c r="F1" s="40" t="s">
        <v>16</v>
      </c>
      <c r="G1" s="42" t="s">
        <v>17</v>
      </c>
    </row>
    <row r="2" spans="1:7" x14ac:dyDescent="0.25">
      <c r="B2" s="30" t="s">
        <v>48</v>
      </c>
      <c r="C2" s="41"/>
      <c r="D2" s="41"/>
      <c r="E2" s="41"/>
      <c r="F2" s="41"/>
      <c r="G2" s="43"/>
    </row>
    <row r="3" spans="1:7" x14ac:dyDescent="0.25">
      <c r="A3" t="s">
        <v>46</v>
      </c>
      <c r="B3" s="31" t="s">
        <v>0</v>
      </c>
      <c r="C3" s="16"/>
      <c r="D3" s="16"/>
      <c r="E3" s="16">
        <v>27417</v>
      </c>
      <c r="F3" s="16">
        <v>274170</v>
      </c>
      <c r="G3" s="16">
        <v>246753</v>
      </c>
    </row>
    <row r="4" spans="1:7" x14ac:dyDescent="0.25">
      <c r="B4" s="31" t="s">
        <v>1</v>
      </c>
      <c r="C4" s="16"/>
      <c r="D4" s="16"/>
      <c r="E4" s="16">
        <v>9000</v>
      </c>
      <c r="F4" s="16">
        <v>90000</v>
      </c>
      <c r="G4" s="16">
        <v>81000</v>
      </c>
    </row>
    <row r="5" spans="1:7" x14ac:dyDescent="0.25">
      <c r="B5" s="31" t="s">
        <v>2</v>
      </c>
      <c r="C5" s="16"/>
      <c r="D5" s="16"/>
      <c r="E5" s="16">
        <v>12000</v>
      </c>
      <c r="F5" s="16">
        <v>120000</v>
      </c>
      <c r="G5" s="16">
        <v>108000</v>
      </c>
    </row>
    <row r="6" spans="1:7" x14ac:dyDescent="0.25">
      <c r="B6" s="31" t="s">
        <v>56</v>
      </c>
      <c r="C6" s="16"/>
      <c r="D6" s="16"/>
      <c r="E6" s="16">
        <v>8000</v>
      </c>
      <c r="F6" s="16">
        <v>80007</v>
      </c>
      <c r="G6" s="16">
        <v>72007</v>
      </c>
    </row>
    <row r="7" spans="1:7" x14ac:dyDescent="0.25">
      <c r="B7" s="31" t="s">
        <v>3</v>
      </c>
      <c r="C7" s="16">
        <v>2400</v>
      </c>
      <c r="D7" s="16">
        <v>12000</v>
      </c>
      <c r="E7" s="16">
        <v>10560</v>
      </c>
      <c r="F7" s="16">
        <v>120000</v>
      </c>
      <c r="G7" s="16">
        <v>95040</v>
      </c>
    </row>
    <row r="8" spans="1:7" x14ac:dyDescent="0.25">
      <c r="B8" s="31" t="s">
        <v>4</v>
      </c>
      <c r="C8" s="16">
        <v>2400</v>
      </c>
      <c r="D8" s="16">
        <v>12000</v>
      </c>
      <c r="E8" s="16">
        <v>10560</v>
      </c>
      <c r="F8" s="16">
        <v>120000</v>
      </c>
      <c r="G8" s="16">
        <v>95040</v>
      </c>
    </row>
    <row r="9" spans="1:7" x14ac:dyDescent="0.25">
      <c r="B9" s="31" t="s">
        <v>5</v>
      </c>
      <c r="C9" s="16">
        <v>2400</v>
      </c>
      <c r="D9" s="16">
        <v>12000</v>
      </c>
      <c r="E9" s="16">
        <v>10560</v>
      </c>
      <c r="F9" s="16">
        <v>120000</v>
      </c>
      <c r="G9" s="16">
        <v>95040</v>
      </c>
    </row>
    <row r="10" spans="1:7" x14ac:dyDescent="0.25">
      <c r="B10" s="31" t="s">
        <v>55</v>
      </c>
      <c r="C10" s="16">
        <v>1400</v>
      </c>
      <c r="D10" s="16">
        <v>7000</v>
      </c>
      <c r="E10" s="16">
        <v>6160</v>
      </c>
      <c r="F10" s="16">
        <v>70000</v>
      </c>
      <c r="G10" s="16">
        <v>55440</v>
      </c>
    </row>
    <row r="11" spans="1:7" x14ac:dyDescent="0.25">
      <c r="B11" s="31" t="s">
        <v>6</v>
      </c>
      <c r="C11" s="16">
        <v>1800</v>
      </c>
      <c r="D11" s="16">
        <v>9000</v>
      </c>
      <c r="E11" s="16">
        <v>7920</v>
      </c>
      <c r="F11" s="16">
        <v>90000</v>
      </c>
      <c r="G11" s="16">
        <v>71280</v>
      </c>
    </row>
    <row r="12" spans="1:7" x14ac:dyDescent="0.25">
      <c r="B12" s="32" t="s">
        <v>47</v>
      </c>
      <c r="C12" s="13">
        <f>SUM(C3:C11)</f>
        <v>10400</v>
      </c>
      <c r="D12" s="13">
        <f>SUM(D3:D11)</f>
        <v>52000</v>
      </c>
      <c r="E12" s="13">
        <f>SUM(E3:E11)</f>
        <v>102177</v>
      </c>
      <c r="F12" s="13">
        <f>SUM(F3:F11)</f>
        <v>1084177</v>
      </c>
      <c r="G12" s="13">
        <f>SUM(G3:G11)</f>
        <v>919600</v>
      </c>
    </row>
    <row r="13" spans="1:7" x14ac:dyDescent="0.25">
      <c r="B13" s="32"/>
      <c r="C13" s="40" t="s">
        <v>13</v>
      </c>
      <c r="D13" s="40" t="s">
        <v>14</v>
      </c>
      <c r="E13" s="40" t="s">
        <v>15</v>
      </c>
      <c r="F13" s="40" t="s">
        <v>16</v>
      </c>
      <c r="G13" s="42" t="s">
        <v>17</v>
      </c>
    </row>
    <row r="14" spans="1:7" x14ac:dyDescent="0.25">
      <c r="B14" s="33" t="s">
        <v>49</v>
      </c>
      <c r="C14" s="41"/>
      <c r="D14" s="41"/>
      <c r="E14" s="41"/>
      <c r="F14" s="41"/>
      <c r="G14" s="43"/>
    </row>
    <row r="15" spans="1:7" x14ac:dyDescent="0.25">
      <c r="B15" s="31" t="s">
        <v>0</v>
      </c>
      <c r="C15" s="16"/>
      <c r="D15" s="16"/>
      <c r="E15" s="16">
        <v>27417</v>
      </c>
      <c r="F15" s="16">
        <v>274170</v>
      </c>
      <c r="G15" s="16">
        <v>246753</v>
      </c>
    </row>
    <row r="16" spans="1:7" x14ac:dyDescent="0.25">
      <c r="B16" s="31" t="s">
        <v>1</v>
      </c>
      <c r="C16" s="16"/>
      <c r="D16" s="16"/>
      <c r="E16" s="16">
        <v>9000</v>
      </c>
      <c r="F16" s="16">
        <v>90000</v>
      </c>
      <c r="G16" s="16">
        <v>81000</v>
      </c>
    </row>
    <row r="17" spans="2:7" x14ac:dyDescent="0.25">
      <c r="B17" s="31" t="s">
        <v>2</v>
      </c>
      <c r="C17" s="16"/>
      <c r="D17" s="16"/>
      <c r="E17" s="16">
        <v>12000</v>
      </c>
      <c r="F17" s="16">
        <v>120000</v>
      </c>
      <c r="G17" s="16">
        <v>108000</v>
      </c>
    </row>
    <row r="18" spans="2:7" x14ac:dyDescent="0.25">
      <c r="B18" s="31" t="s">
        <v>56</v>
      </c>
      <c r="C18" s="16"/>
      <c r="D18" s="16"/>
      <c r="E18" s="16">
        <v>8000</v>
      </c>
      <c r="F18" s="16">
        <v>80007</v>
      </c>
      <c r="G18" s="16">
        <v>72007</v>
      </c>
    </row>
    <row r="19" spans="2:7" x14ac:dyDescent="0.25">
      <c r="B19" s="31" t="s">
        <v>3</v>
      </c>
      <c r="C19" s="16">
        <v>2400</v>
      </c>
      <c r="D19" s="16">
        <v>12000</v>
      </c>
      <c r="E19" s="16">
        <v>10560</v>
      </c>
      <c r="F19" s="16">
        <v>120000</v>
      </c>
      <c r="G19" s="16">
        <v>95040</v>
      </c>
    </row>
    <row r="20" spans="2:7" x14ac:dyDescent="0.25">
      <c r="B20" s="31" t="s">
        <v>4</v>
      </c>
      <c r="C20" s="16">
        <v>2400</v>
      </c>
      <c r="D20" s="16">
        <v>12000</v>
      </c>
      <c r="E20" s="16">
        <v>10560</v>
      </c>
      <c r="F20" s="16">
        <v>120000</v>
      </c>
      <c r="G20" s="16">
        <v>95040</v>
      </c>
    </row>
    <row r="21" spans="2:7" x14ac:dyDescent="0.25">
      <c r="B21" s="31" t="s">
        <v>5</v>
      </c>
      <c r="C21" s="16">
        <v>2400</v>
      </c>
      <c r="D21" s="16">
        <v>12000</v>
      </c>
      <c r="E21" s="16">
        <v>10560</v>
      </c>
      <c r="F21" s="16">
        <v>120000</v>
      </c>
      <c r="G21" s="16">
        <v>95040</v>
      </c>
    </row>
    <row r="22" spans="2:7" x14ac:dyDescent="0.25">
      <c r="B22" s="31" t="s">
        <v>55</v>
      </c>
      <c r="C22" s="16">
        <v>1400</v>
      </c>
      <c r="D22" s="16">
        <v>7000</v>
      </c>
      <c r="E22" s="16">
        <v>6160</v>
      </c>
      <c r="F22" s="16">
        <v>70000</v>
      </c>
      <c r="G22" s="16">
        <v>55440</v>
      </c>
    </row>
    <row r="23" spans="2:7" x14ac:dyDescent="0.25">
      <c r="B23" s="31" t="s">
        <v>6</v>
      </c>
      <c r="C23" s="16">
        <v>1800</v>
      </c>
      <c r="D23" s="16">
        <v>9000</v>
      </c>
      <c r="E23" s="16">
        <v>7920</v>
      </c>
      <c r="F23" s="16">
        <v>90000</v>
      </c>
      <c r="G23" s="16">
        <v>71280</v>
      </c>
    </row>
    <row r="24" spans="2:7" x14ac:dyDescent="0.25">
      <c r="B24" s="32" t="s">
        <v>47</v>
      </c>
      <c r="C24" s="13">
        <f>SUM(C15:C23)</f>
        <v>10400</v>
      </c>
      <c r="D24" s="13">
        <f>SUM(D15:D23)</f>
        <v>52000</v>
      </c>
      <c r="E24" s="13">
        <f>SUM(E15:E23)</f>
        <v>102177</v>
      </c>
      <c r="F24" s="13">
        <f>SUM(F15:F23)</f>
        <v>1084177</v>
      </c>
      <c r="G24" s="13">
        <f>SUM(G15:G23)</f>
        <v>919600</v>
      </c>
    </row>
    <row r="25" spans="2:7" x14ac:dyDescent="0.25">
      <c r="B25" s="32"/>
      <c r="C25" s="40" t="s">
        <v>13</v>
      </c>
      <c r="D25" s="40" t="s">
        <v>14</v>
      </c>
      <c r="E25" s="40" t="s">
        <v>15</v>
      </c>
      <c r="F25" s="40" t="s">
        <v>16</v>
      </c>
      <c r="G25" s="42" t="s">
        <v>17</v>
      </c>
    </row>
    <row r="26" spans="2:7" x14ac:dyDescent="0.25">
      <c r="B26" s="33" t="s">
        <v>50</v>
      </c>
      <c r="C26" s="41"/>
      <c r="D26" s="41"/>
      <c r="E26" s="41"/>
      <c r="F26" s="41"/>
      <c r="G26" s="43"/>
    </row>
    <row r="27" spans="2:7" x14ac:dyDescent="0.25">
      <c r="B27" s="31" t="s">
        <v>0</v>
      </c>
      <c r="C27" s="16"/>
      <c r="D27" s="16"/>
      <c r="E27" s="16">
        <v>27417</v>
      </c>
      <c r="F27" s="16">
        <v>274170</v>
      </c>
      <c r="G27" s="16">
        <v>246753</v>
      </c>
    </row>
    <row r="28" spans="2:7" x14ac:dyDescent="0.25">
      <c r="B28" s="31" t="s">
        <v>1</v>
      </c>
      <c r="C28" s="16"/>
      <c r="D28" s="16"/>
      <c r="E28" s="16">
        <v>9000</v>
      </c>
      <c r="F28" s="16">
        <v>90000</v>
      </c>
      <c r="G28" s="16">
        <v>81000</v>
      </c>
    </row>
    <row r="29" spans="2:7" x14ac:dyDescent="0.25">
      <c r="B29" s="31" t="s">
        <v>2</v>
      </c>
      <c r="C29" s="16"/>
      <c r="D29" s="16"/>
      <c r="E29" s="16">
        <v>12000</v>
      </c>
      <c r="F29" s="16">
        <v>120000</v>
      </c>
      <c r="G29" s="16">
        <v>108000</v>
      </c>
    </row>
    <row r="30" spans="2:7" x14ac:dyDescent="0.25">
      <c r="B30" s="31" t="s">
        <v>56</v>
      </c>
      <c r="C30" s="16"/>
      <c r="D30" s="16"/>
      <c r="E30" s="16">
        <v>8000</v>
      </c>
      <c r="F30" s="16">
        <v>80007</v>
      </c>
      <c r="G30" s="16">
        <v>72007</v>
      </c>
    </row>
    <row r="31" spans="2:7" x14ac:dyDescent="0.25">
      <c r="B31" s="31" t="s">
        <v>3</v>
      </c>
      <c r="C31" s="16">
        <v>2400</v>
      </c>
      <c r="D31" s="16">
        <v>12000</v>
      </c>
      <c r="E31" s="16">
        <v>10560</v>
      </c>
      <c r="F31" s="16">
        <v>120000</v>
      </c>
      <c r="G31" s="16">
        <v>95040</v>
      </c>
    </row>
    <row r="32" spans="2:7" x14ac:dyDescent="0.25">
      <c r="B32" s="31" t="s">
        <v>4</v>
      </c>
      <c r="C32" s="16">
        <v>2400</v>
      </c>
      <c r="D32" s="16">
        <v>12000</v>
      </c>
      <c r="E32" s="16">
        <v>10560</v>
      </c>
      <c r="F32" s="16">
        <v>120000</v>
      </c>
      <c r="G32" s="16">
        <v>95040</v>
      </c>
    </row>
    <row r="33" spans="2:7" x14ac:dyDescent="0.25">
      <c r="B33" s="31" t="s">
        <v>5</v>
      </c>
      <c r="C33" s="16">
        <v>2400</v>
      </c>
      <c r="D33" s="16">
        <v>12000</v>
      </c>
      <c r="E33" s="16">
        <v>10560</v>
      </c>
      <c r="F33" s="16">
        <v>120000</v>
      </c>
      <c r="G33" s="16">
        <v>95040</v>
      </c>
    </row>
    <row r="34" spans="2:7" x14ac:dyDescent="0.25">
      <c r="B34" s="31" t="s">
        <v>55</v>
      </c>
      <c r="C34" s="16">
        <v>1400</v>
      </c>
      <c r="D34" s="16">
        <v>7000</v>
      </c>
      <c r="E34" s="16">
        <v>6160</v>
      </c>
      <c r="F34" s="16">
        <v>70000</v>
      </c>
      <c r="G34" s="16">
        <v>55440</v>
      </c>
    </row>
    <row r="35" spans="2:7" x14ac:dyDescent="0.25">
      <c r="B35" s="31" t="s">
        <v>6</v>
      </c>
      <c r="C35" s="16">
        <v>1800</v>
      </c>
      <c r="D35" s="16">
        <v>9000</v>
      </c>
      <c r="E35" s="16">
        <v>7920</v>
      </c>
      <c r="F35" s="16">
        <v>90000</v>
      </c>
      <c r="G35" s="16">
        <v>71280</v>
      </c>
    </row>
    <row r="36" spans="2:7" x14ac:dyDescent="0.25">
      <c r="B36" s="32" t="s">
        <v>47</v>
      </c>
      <c r="C36" s="13">
        <f>SUM(C27:C35)</f>
        <v>10400</v>
      </c>
      <c r="D36" s="13">
        <f>SUM(D27:D35)</f>
        <v>52000</v>
      </c>
      <c r="E36" s="13">
        <f>SUM(E27:E35)</f>
        <v>102177</v>
      </c>
      <c r="F36" s="13">
        <f>SUM(F27:F35)</f>
        <v>1084177</v>
      </c>
      <c r="G36" s="13">
        <f>SUM(G27:G35)</f>
        <v>919600</v>
      </c>
    </row>
    <row r="37" spans="2:7" x14ac:dyDescent="0.25">
      <c r="B37" s="32"/>
      <c r="C37" s="40" t="s">
        <v>13</v>
      </c>
      <c r="D37" s="40" t="s">
        <v>14</v>
      </c>
      <c r="E37" s="40" t="s">
        <v>15</v>
      </c>
      <c r="F37" s="40" t="s">
        <v>16</v>
      </c>
      <c r="G37" s="42" t="s">
        <v>17</v>
      </c>
    </row>
    <row r="38" spans="2:7" x14ac:dyDescent="0.25">
      <c r="B38" s="33" t="s">
        <v>51</v>
      </c>
      <c r="C38" s="41"/>
      <c r="D38" s="41"/>
      <c r="E38" s="41"/>
      <c r="F38" s="41"/>
      <c r="G38" s="43"/>
    </row>
    <row r="39" spans="2:7" x14ac:dyDescent="0.25">
      <c r="B39" s="31" t="s">
        <v>0</v>
      </c>
      <c r="C39" s="16"/>
      <c r="D39" s="16"/>
      <c r="E39" s="16">
        <v>27417</v>
      </c>
      <c r="F39" s="16">
        <v>274170</v>
      </c>
      <c r="G39" s="16">
        <v>246753</v>
      </c>
    </row>
    <row r="40" spans="2:7" x14ac:dyDescent="0.25">
      <c r="B40" s="31" t="s">
        <v>1</v>
      </c>
      <c r="C40" s="16"/>
      <c r="D40" s="16"/>
      <c r="E40" s="16">
        <v>9000</v>
      </c>
      <c r="F40" s="16">
        <v>90000</v>
      </c>
      <c r="G40" s="16">
        <v>81000</v>
      </c>
    </row>
    <row r="41" spans="2:7" x14ac:dyDescent="0.25">
      <c r="B41" s="31" t="s">
        <v>2</v>
      </c>
      <c r="C41" s="16"/>
      <c r="D41" s="16"/>
      <c r="E41" s="16">
        <v>12000</v>
      </c>
      <c r="F41" s="16">
        <v>120000</v>
      </c>
      <c r="G41" s="16">
        <v>108000</v>
      </c>
    </row>
    <row r="42" spans="2:7" x14ac:dyDescent="0.25">
      <c r="B42" s="31" t="s">
        <v>56</v>
      </c>
      <c r="C42" s="16"/>
      <c r="D42" s="16"/>
      <c r="E42" s="16">
        <v>8000</v>
      </c>
      <c r="F42" s="16">
        <v>80007</v>
      </c>
      <c r="G42" s="16">
        <v>72007</v>
      </c>
    </row>
    <row r="43" spans="2:7" x14ac:dyDescent="0.25">
      <c r="B43" s="31" t="s">
        <v>3</v>
      </c>
      <c r="C43" s="16">
        <v>2400</v>
      </c>
      <c r="D43" s="16">
        <v>12000</v>
      </c>
      <c r="E43" s="16">
        <v>10560</v>
      </c>
      <c r="F43" s="16">
        <v>120000</v>
      </c>
      <c r="G43" s="16">
        <v>95040</v>
      </c>
    </row>
    <row r="44" spans="2:7" x14ac:dyDescent="0.25">
      <c r="B44" s="31" t="s">
        <v>4</v>
      </c>
      <c r="C44" s="16">
        <v>2400</v>
      </c>
      <c r="D44" s="16">
        <v>12000</v>
      </c>
      <c r="E44" s="16">
        <v>10560</v>
      </c>
      <c r="F44" s="16">
        <v>120000</v>
      </c>
      <c r="G44" s="16">
        <v>95040</v>
      </c>
    </row>
    <row r="45" spans="2:7" x14ac:dyDescent="0.25">
      <c r="B45" s="31" t="s">
        <v>5</v>
      </c>
      <c r="C45" s="16">
        <v>2400</v>
      </c>
      <c r="D45" s="16">
        <v>12000</v>
      </c>
      <c r="E45" s="16">
        <v>10560</v>
      </c>
      <c r="F45" s="16">
        <v>120000</v>
      </c>
      <c r="G45" s="16">
        <v>95040</v>
      </c>
    </row>
    <row r="46" spans="2:7" x14ac:dyDescent="0.25">
      <c r="B46" s="31" t="s">
        <v>55</v>
      </c>
      <c r="C46" s="16">
        <v>1400</v>
      </c>
      <c r="D46" s="16">
        <v>7000</v>
      </c>
      <c r="E46" s="16">
        <v>6160</v>
      </c>
      <c r="F46" s="16">
        <v>70000</v>
      </c>
      <c r="G46" s="16">
        <v>55440</v>
      </c>
    </row>
    <row r="47" spans="2:7" x14ac:dyDescent="0.25">
      <c r="B47" s="31" t="s">
        <v>6</v>
      </c>
      <c r="C47" s="16">
        <v>1800</v>
      </c>
      <c r="D47" s="16">
        <v>9000</v>
      </c>
      <c r="E47" s="16">
        <v>7920</v>
      </c>
      <c r="F47" s="16">
        <v>90000</v>
      </c>
      <c r="G47" s="16">
        <v>71280</v>
      </c>
    </row>
    <row r="48" spans="2:7" x14ac:dyDescent="0.25">
      <c r="B48" s="32" t="s">
        <v>47</v>
      </c>
      <c r="C48" s="13">
        <f>SUM(C39:C47)</f>
        <v>10400</v>
      </c>
      <c r="D48" s="13">
        <f>SUM(D39:D47)</f>
        <v>52000</v>
      </c>
      <c r="E48" s="13">
        <f>SUM(E39:E47)</f>
        <v>102177</v>
      </c>
      <c r="F48" s="13">
        <f>SUM(F39:F47)</f>
        <v>1084177</v>
      </c>
      <c r="G48" s="13">
        <f>SUM(G39:G47)</f>
        <v>919600</v>
      </c>
    </row>
    <row r="49" spans="2:7" x14ac:dyDescent="0.25">
      <c r="B49" s="32"/>
      <c r="C49" s="40" t="s">
        <v>13</v>
      </c>
      <c r="D49" s="40" t="s">
        <v>14</v>
      </c>
      <c r="E49" s="40" t="s">
        <v>15</v>
      </c>
      <c r="F49" s="40" t="s">
        <v>16</v>
      </c>
      <c r="G49" s="42" t="s">
        <v>17</v>
      </c>
    </row>
    <row r="50" spans="2:7" x14ac:dyDescent="0.25">
      <c r="B50" s="33" t="s">
        <v>52</v>
      </c>
      <c r="C50" s="41"/>
      <c r="D50" s="41"/>
      <c r="E50" s="41"/>
      <c r="F50" s="41"/>
      <c r="G50" s="43"/>
    </row>
    <row r="51" spans="2:7" x14ac:dyDescent="0.25">
      <c r="B51" s="31" t="s">
        <v>0</v>
      </c>
      <c r="C51" s="16"/>
      <c r="D51" s="16"/>
      <c r="E51" s="16">
        <v>27417</v>
      </c>
      <c r="F51" s="16">
        <v>274170</v>
      </c>
      <c r="G51" s="16">
        <v>246753</v>
      </c>
    </row>
    <row r="52" spans="2:7" x14ac:dyDescent="0.25">
      <c r="B52" s="31" t="s">
        <v>1</v>
      </c>
      <c r="C52" s="16"/>
      <c r="D52" s="16"/>
      <c r="E52" s="16">
        <v>9000</v>
      </c>
      <c r="F52" s="16">
        <v>90000</v>
      </c>
      <c r="G52" s="16">
        <v>81000</v>
      </c>
    </row>
    <row r="53" spans="2:7" x14ac:dyDescent="0.25">
      <c r="B53" s="31" t="s">
        <v>2</v>
      </c>
      <c r="C53" s="16"/>
      <c r="D53" s="16"/>
      <c r="E53" s="16">
        <v>12000</v>
      </c>
      <c r="F53" s="16">
        <v>120000</v>
      </c>
      <c r="G53" s="16">
        <v>108000</v>
      </c>
    </row>
    <row r="54" spans="2:7" x14ac:dyDescent="0.25">
      <c r="B54" s="31" t="s">
        <v>56</v>
      </c>
      <c r="C54" s="16"/>
      <c r="D54" s="16"/>
      <c r="E54" s="16">
        <v>8000</v>
      </c>
      <c r="F54" s="16">
        <v>80007</v>
      </c>
      <c r="G54" s="16">
        <v>72007</v>
      </c>
    </row>
    <row r="55" spans="2:7" x14ac:dyDescent="0.25">
      <c r="B55" s="31" t="s">
        <v>3</v>
      </c>
      <c r="C55" s="16">
        <v>2400</v>
      </c>
      <c r="D55" s="16">
        <v>12000</v>
      </c>
      <c r="E55" s="16">
        <v>10560</v>
      </c>
      <c r="F55" s="16">
        <v>120000</v>
      </c>
      <c r="G55" s="16">
        <v>95040</v>
      </c>
    </row>
    <row r="56" spans="2:7" x14ac:dyDescent="0.25">
      <c r="B56" s="31" t="s">
        <v>4</v>
      </c>
      <c r="C56" s="16">
        <v>2400</v>
      </c>
      <c r="D56" s="16">
        <v>12000</v>
      </c>
      <c r="E56" s="16">
        <v>10560</v>
      </c>
      <c r="F56" s="16">
        <v>120000</v>
      </c>
      <c r="G56" s="16">
        <v>95040</v>
      </c>
    </row>
    <row r="57" spans="2:7" x14ac:dyDescent="0.25">
      <c r="B57" s="31" t="s">
        <v>5</v>
      </c>
      <c r="C57" s="16">
        <v>2400</v>
      </c>
      <c r="D57" s="16">
        <v>12000</v>
      </c>
      <c r="E57" s="16">
        <v>10560</v>
      </c>
      <c r="F57" s="16">
        <v>120000</v>
      </c>
      <c r="G57" s="16">
        <v>95040</v>
      </c>
    </row>
    <row r="58" spans="2:7" x14ac:dyDescent="0.25">
      <c r="B58" s="31" t="s">
        <v>55</v>
      </c>
      <c r="C58" s="16">
        <v>1400</v>
      </c>
      <c r="D58" s="16">
        <v>7000</v>
      </c>
      <c r="E58" s="16">
        <v>6160</v>
      </c>
      <c r="F58" s="16">
        <v>70000</v>
      </c>
      <c r="G58" s="16">
        <v>55440</v>
      </c>
    </row>
    <row r="59" spans="2:7" x14ac:dyDescent="0.25">
      <c r="B59" s="31" t="s">
        <v>6</v>
      </c>
      <c r="C59" s="16">
        <v>1800</v>
      </c>
      <c r="D59" s="16">
        <v>9000</v>
      </c>
      <c r="E59" s="16">
        <v>7920</v>
      </c>
      <c r="F59" s="16">
        <v>90000</v>
      </c>
      <c r="G59" s="16">
        <v>71280</v>
      </c>
    </row>
    <row r="60" spans="2:7" x14ac:dyDescent="0.25">
      <c r="B60" s="32" t="s">
        <v>47</v>
      </c>
      <c r="C60" s="13">
        <f>SUM(C51:C59)</f>
        <v>10400</v>
      </c>
      <c r="D60" s="13">
        <f>SUM(D51:D59)</f>
        <v>52000</v>
      </c>
      <c r="E60" s="13">
        <f>SUM(E51:E59)</f>
        <v>102177</v>
      </c>
      <c r="F60" s="13">
        <f>SUM(F51:F59)</f>
        <v>1084177</v>
      </c>
      <c r="G60" s="13">
        <f>SUM(G51:G59)</f>
        <v>919600</v>
      </c>
    </row>
    <row r="61" spans="2:7" x14ac:dyDescent="0.25">
      <c r="B61" s="32"/>
      <c r="C61" s="40" t="s">
        <v>13</v>
      </c>
      <c r="D61" s="40" t="s">
        <v>14</v>
      </c>
      <c r="E61" s="40" t="s">
        <v>15</v>
      </c>
      <c r="F61" s="40" t="s">
        <v>16</v>
      </c>
      <c r="G61" s="42" t="s">
        <v>17</v>
      </c>
    </row>
    <row r="62" spans="2:7" x14ac:dyDescent="0.25">
      <c r="B62" s="33" t="s">
        <v>57</v>
      </c>
      <c r="C62" s="41"/>
      <c r="D62" s="41"/>
      <c r="E62" s="41"/>
      <c r="F62" s="41"/>
      <c r="G62" s="43"/>
    </row>
    <row r="63" spans="2:7" x14ac:dyDescent="0.25">
      <c r="B63" s="31" t="s">
        <v>0</v>
      </c>
      <c r="C63" s="16"/>
      <c r="D63" s="16"/>
      <c r="E63" s="16">
        <v>27417</v>
      </c>
      <c r="F63" s="16">
        <v>274170</v>
      </c>
      <c r="G63" s="16">
        <v>246753</v>
      </c>
    </row>
    <row r="64" spans="2:7" x14ac:dyDescent="0.25">
      <c r="B64" s="31" t="s">
        <v>1</v>
      </c>
      <c r="C64" s="16"/>
      <c r="D64" s="16"/>
      <c r="E64" s="16">
        <v>9000</v>
      </c>
      <c r="F64" s="16">
        <v>90000</v>
      </c>
      <c r="G64" s="16">
        <v>81000</v>
      </c>
    </row>
    <row r="65" spans="2:7" x14ac:dyDescent="0.25">
      <c r="B65" s="31" t="s">
        <v>2</v>
      </c>
      <c r="C65" s="16"/>
      <c r="D65" s="16"/>
      <c r="E65" s="16">
        <v>12000</v>
      </c>
      <c r="F65" s="16">
        <v>120000</v>
      </c>
      <c r="G65" s="16">
        <v>108000</v>
      </c>
    </row>
    <row r="66" spans="2:7" x14ac:dyDescent="0.25">
      <c r="B66" s="31" t="s">
        <v>56</v>
      </c>
      <c r="C66" s="16"/>
      <c r="D66" s="16"/>
      <c r="E66" s="16">
        <v>8000</v>
      </c>
      <c r="F66" s="16">
        <v>80007</v>
      </c>
      <c r="G66" s="16">
        <v>72007</v>
      </c>
    </row>
    <row r="67" spans="2:7" x14ac:dyDescent="0.25">
      <c r="B67" s="31" t="s">
        <v>3</v>
      </c>
      <c r="C67" s="16">
        <v>2400</v>
      </c>
      <c r="D67" s="16">
        <v>12000</v>
      </c>
      <c r="E67" s="16">
        <v>10560</v>
      </c>
      <c r="F67" s="16">
        <v>120000</v>
      </c>
      <c r="G67" s="16">
        <v>95040</v>
      </c>
    </row>
    <row r="68" spans="2:7" x14ac:dyDescent="0.25">
      <c r="B68" s="31" t="s">
        <v>4</v>
      </c>
      <c r="C68" s="16">
        <v>2400</v>
      </c>
      <c r="D68" s="16">
        <v>12000</v>
      </c>
      <c r="E68" s="16">
        <v>10560</v>
      </c>
      <c r="F68" s="16">
        <v>120000</v>
      </c>
      <c r="G68" s="16">
        <v>95040</v>
      </c>
    </row>
    <row r="69" spans="2:7" x14ac:dyDescent="0.25">
      <c r="B69" s="31" t="s">
        <v>5</v>
      </c>
      <c r="C69" s="16">
        <v>2400</v>
      </c>
      <c r="D69" s="16">
        <v>12000</v>
      </c>
      <c r="E69" s="16">
        <v>10560</v>
      </c>
      <c r="F69" s="16">
        <v>120000</v>
      </c>
      <c r="G69" s="16">
        <v>95040</v>
      </c>
    </row>
    <row r="70" spans="2:7" x14ac:dyDescent="0.25">
      <c r="B70" s="31" t="s">
        <v>55</v>
      </c>
      <c r="C70" s="16">
        <v>1400</v>
      </c>
      <c r="D70" s="16">
        <v>7000</v>
      </c>
      <c r="E70" s="16">
        <v>6160</v>
      </c>
      <c r="F70" s="16">
        <v>70000</v>
      </c>
      <c r="G70" s="16">
        <v>55440</v>
      </c>
    </row>
    <row r="71" spans="2:7" x14ac:dyDescent="0.25">
      <c r="B71" s="31" t="s">
        <v>6</v>
      </c>
      <c r="C71" s="16">
        <v>1800</v>
      </c>
      <c r="D71" s="16">
        <v>9000</v>
      </c>
      <c r="E71" s="16">
        <v>7920</v>
      </c>
      <c r="F71" s="16">
        <v>90000</v>
      </c>
      <c r="G71" s="16">
        <v>71280</v>
      </c>
    </row>
    <row r="72" spans="2:7" x14ac:dyDescent="0.25">
      <c r="B72" s="32" t="s">
        <v>47</v>
      </c>
      <c r="C72" s="13">
        <f>SUM(C63:C71)</f>
        <v>10400</v>
      </c>
      <c r="D72" s="13">
        <f>SUM(D63:D71)</f>
        <v>52000</v>
      </c>
      <c r="E72" s="13">
        <f>SUM(E63:E71)</f>
        <v>102177</v>
      </c>
      <c r="F72" s="13">
        <f>SUM(F63:F71)</f>
        <v>1084177</v>
      </c>
      <c r="G72" s="13">
        <f>SUM(G63:G71)</f>
        <v>919600</v>
      </c>
    </row>
    <row r="73" spans="2:7" x14ac:dyDescent="0.25">
      <c r="B73" s="32"/>
      <c r="C73" s="40" t="s">
        <v>13</v>
      </c>
      <c r="D73" s="40" t="s">
        <v>14</v>
      </c>
      <c r="E73" s="40" t="s">
        <v>15</v>
      </c>
      <c r="F73" s="40" t="s">
        <v>16</v>
      </c>
      <c r="G73" s="42" t="s">
        <v>17</v>
      </c>
    </row>
    <row r="74" spans="2:7" x14ac:dyDescent="0.25">
      <c r="B74" s="33" t="s">
        <v>58</v>
      </c>
      <c r="C74" s="41"/>
      <c r="D74" s="41"/>
      <c r="E74" s="41"/>
      <c r="F74" s="41"/>
      <c r="G74" s="43"/>
    </row>
    <row r="75" spans="2:7" x14ac:dyDescent="0.25">
      <c r="B75" s="31" t="s">
        <v>0</v>
      </c>
      <c r="C75" s="16"/>
      <c r="D75" s="16"/>
      <c r="E75" s="16">
        <v>27417</v>
      </c>
      <c r="F75" s="16">
        <v>274170</v>
      </c>
      <c r="G75" s="16">
        <f>F75-C75-D75-E75</f>
        <v>246753</v>
      </c>
    </row>
    <row r="76" spans="2:7" x14ac:dyDescent="0.25">
      <c r="B76" s="31" t="s">
        <v>1</v>
      </c>
      <c r="C76" s="16"/>
      <c r="D76" s="16"/>
      <c r="E76" s="16">
        <v>5000</v>
      </c>
      <c r="F76" s="16">
        <v>50000</v>
      </c>
      <c r="G76" s="16">
        <f t="shared" ref="G76:G81" si="0">F76-C76-D76-E76</f>
        <v>45000</v>
      </c>
    </row>
    <row r="77" spans="2:7" x14ac:dyDescent="0.25">
      <c r="B77" s="31" t="s">
        <v>2</v>
      </c>
      <c r="C77" s="16"/>
      <c r="D77" s="16"/>
      <c r="E77" s="16">
        <v>17500</v>
      </c>
      <c r="F77" s="16">
        <v>175000</v>
      </c>
      <c r="G77" s="16">
        <f t="shared" si="0"/>
        <v>157500</v>
      </c>
    </row>
    <row r="78" spans="2:7" x14ac:dyDescent="0.25">
      <c r="B78" s="31" t="s">
        <v>3</v>
      </c>
      <c r="C78" s="16">
        <v>3500</v>
      </c>
      <c r="D78" s="16">
        <v>17500</v>
      </c>
      <c r="E78" s="16">
        <v>15400</v>
      </c>
      <c r="F78" s="16">
        <v>175000</v>
      </c>
      <c r="G78" s="16">
        <f t="shared" si="0"/>
        <v>138600</v>
      </c>
    </row>
    <row r="79" spans="2:7" x14ac:dyDescent="0.25">
      <c r="B79" s="31" t="s">
        <v>4</v>
      </c>
      <c r="C79" s="16">
        <v>2800</v>
      </c>
      <c r="D79" s="16">
        <v>14000</v>
      </c>
      <c r="E79" s="16">
        <v>12320</v>
      </c>
      <c r="F79" s="16">
        <v>140000</v>
      </c>
      <c r="G79" s="16">
        <f t="shared" si="0"/>
        <v>110880</v>
      </c>
    </row>
    <row r="80" spans="2:7" x14ac:dyDescent="0.25">
      <c r="B80" s="31" t="s">
        <v>5</v>
      </c>
      <c r="C80" s="16">
        <v>2800</v>
      </c>
      <c r="D80" s="16">
        <v>14000</v>
      </c>
      <c r="E80" s="16">
        <v>12320</v>
      </c>
      <c r="F80" s="16">
        <v>140000</v>
      </c>
      <c r="G80" s="16">
        <f t="shared" si="0"/>
        <v>110880</v>
      </c>
    </row>
    <row r="81" spans="2:7" x14ac:dyDescent="0.25">
      <c r="B81" s="31" t="s">
        <v>59</v>
      </c>
      <c r="C81" s="16">
        <v>2600</v>
      </c>
      <c r="D81" s="16">
        <v>13000</v>
      </c>
      <c r="E81" s="16">
        <v>11440</v>
      </c>
      <c r="F81" s="16">
        <v>130000</v>
      </c>
      <c r="G81" s="16">
        <f t="shared" si="0"/>
        <v>102960</v>
      </c>
    </row>
    <row r="82" spans="2:7" x14ac:dyDescent="0.25">
      <c r="B82" s="32" t="s">
        <v>47</v>
      </c>
      <c r="C82" s="13">
        <f>SUM(C75:C81)</f>
        <v>11700</v>
      </c>
      <c r="D82" s="13">
        <f>SUM(D75:D81)</f>
        <v>58500</v>
      </c>
      <c r="E82" s="13">
        <f>SUM(E75:E81)</f>
        <v>101397</v>
      </c>
      <c r="F82" s="13">
        <f>SUM(F75:F81)</f>
        <v>1084170</v>
      </c>
      <c r="G82" s="13">
        <f>SUM(G75:G81)</f>
        <v>912573</v>
      </c>
    </row>
    <row r="83" spans="2:7" x14ac:dyDescent="0.25">
      <c r="B83" s="32"/>
      <c r="C83" s="40" t="s">
        <v>13</v>
      </c>
      <c r="D83" s="40" t="s">
        <v>14</v>
      </c>
      <c r="E83" s="40" t="s">
        <v>15</v>
      </c>
      <c r="F83" s="40" t="s">
        <v>16</v>
      </c>
      <c r="G83" s="42" t="s">
        <v>17</v>
      </c>
    </row>
    <row r="84" spans="2:7" x14ac:dyDescent="0.25">
      <c r="B84" s="33" t="s">
        <v>60</v>
      </c>
      <c r="C84" s="41"/>
      <c r="D84" s="41"/>
      <c r="E84" s="41"/>
      <c r="F84" s="41"/>
      <c r="G84" s="43"/>
    </row>
    <row r="85" spans="2:7" x14ac:dyDescent="0.25">
      <c r="B85" s="31" t="s">
        <v>0</v>
      </c>
      <c r="C85" s="16"/>
      <c r="D85" s="16"/>
      <c r="E85" s="16">
        <v>27417</v>
      </c>
      <c r="F85" s="16">
        <v>274170</v>
      </c>
      <c r="G85" s="16">
        <f>F85-C85-D85-E85</f>
        <v>246753</v>
      </c>
    </row>
    <row r="86" spans="2:7" x14ac:dyDescent="0.25">
      <c r="B86" s="31" t="s">
        <v>1</v>
      </c>
      <c r="C86" s="16"/>
      <c r="D86" s="16"/>
      <c r="E86" s="16">
        <v>5000</v>
      </c>
      <c r="F86" s="16">
        <v>50000</v>
      </c>
      <c r="G86" s="16">
        <f t="shared" ref="G86:G91" si="1">F86-C86-D86-E86</f>
        <v>45000</v>
      </c>
    </row>
    <row r="87" spans="2:7" x14ac:dyDescent="0.25">
      <c r="B87" s="31" t="s">
        <v>2</v>
      </c>
      <c r="C87" s="16"/>
      <c r="D87" s="16"/>
      <c r="E87" s="16">
        <v>17500</v>
      </c>
      <c r="F87" s="16">
        <v>175000</v>
      </c>
      <c r="G87" s="16">
        <f t="shared" si="1"/>
        <v>157500</v>
      </c>
    </row>
    <row r="88" spans="2:7" x14ac:dyDescent="0.25">
      <c r="B88" s="31" t="s">
        <v>3</v>
      </c>
      <c r="C88" s="16">
        <v>3500</v>
      </c>
      <c r="D88" s="16">
        <v>17500</v>
      </c>
      <c r="E88" s="16">
        <v>15400</v>
      </c>
      <c r="F88" s="16">
        <v>175000</v>
      </c>
      <c r="G88" s="16">
        <f t="shared" si="1"/>
        <v>138600</v>
      </c>
    </row>
    <row r="89" spans="2:7" x14ac:dyDescent="0.25">
      <c r="B89" s="31" t="s">
        <v>4</v>
      </c>
      <c r="C89" s="16">
        <v>2800</v>
      </c>
      <c r="D89" s="16">
        <v>14000</v>
      </c>
      <c r="E89" s="16">
        <v>12320</v>
      </c>
      <c r="F89" s="16">
        <v>140000</v>
      </c>
      <c r="G89" s="16">
        <f t="shared" si="1"/>
        <v>110880</v>
      </c>
    </row>
    <row r="90" spans="2:7" x14ac:dyDescent="0.25">
      <c r="B90" s="31" t="s">
        <v>5</v>
      </c>
      <c r="C90" s="16">
        <v>2800</v>
      </c>
      <c r="D90" s="16">
        <v>14000</v>
      </c>
      <c r="E90" s="16">
        <v>12320</v>
      </c>
      <c r="F90" s="16">
        <v>140000</v>
      </c>
      <c r="G90" s="16">
        <f t="shared" si="1"/>
        <v>110880</v>
      </c>
    </row>
    <row r="91" spans="2:7" x14ac:dyDescent="0.25">
      <c r="B91" s="31" t="s">
        <v>59</v>
      </c>
      <c r="C91" s="16">
        <v>2600</v>
      </c>
      <c r="D91" s="16">
        <v>13000</v>
      </c>
      <c r="E91" s="16">
        <v>11440</v>
      </c>
      <c r="F91" s="16">
        <v>130000</v>
      </c>
      <c r="G91" s="16">
        <f t="shared" si="1"/>
        <v>102960</v>
      </c>
    </row>
    <row r="92" spans="2:7" x14ac:dyDescent="0.25">
      <c r="B92" s="32" t="s">
        <v>47</v>
      </c>
      <c r="C92" s="13">
        <f>SUM(C85:C91)</f>
        <v>11700</v>
      </c>
      <c r="D92" s="13">
        <f>SUM(D85:D91)</f>
        <v>58500</v>
      </c>
      <c r="E92" s="13">
        <f>SUM(E85:E91)</f>
        <v>101397</v>
      </c>
      <c r="F92" s="13">
        <f>SUM(F85:F91)</f>
        <v>1084170</v>
      </c>
      <c r="G92" s="13">
        <f>SUM(G85:G91)</f>
        <v>912573</v>
      </c>
    </row>
    <row r="93" spans="2:7" x14ac:dyDescent="0.25">
      <c r="B93" s="32"/>
      <c r="C93" s="40" t="s">
        <v>13</v>
      </c>
      <c r="D93" s="40" t="s">
        <v>14</v>
      </c>
      <c r="E93" s="40" t="s">
        <v>15</v>
      </c>
      <c r="F93" s="40" t="s">
        <v>16</v>
      </c>
      <c r="G93" s="42" t="s">
        <v>17</v>
      </c>
    </row>
    <row r="94" spans="2:7" x14ac:dyDescent="0.25">
      <c r="B94" s="33" t="s">
        <v>61</v>
      </c>
      <c r="C94" s="41"/>
      <c r="D94" s="41"/>
      <c r="E94" s="41"/>
      <c r="F94" s="41"/>
      <c r="G94" s="43"/>
    </row>
    <row r="95" spans="2:7" x14ac:dyDescent="0.25">
      <c r="B95" s="31" t="s">
        <v>0</v>
      </c>
      <c r="C95" s="16"/>
      <c r="D95" s="16"/>
      <c r="E95" s="16">
        <v>27417</v>
      </c>
      <c r="F95" s="16">
        <v>274170</v>
      </c>
      <c r="G95" s="16">
        <f>F95-C95-D95-E95</f>
        <v>246753</v>
      </c>
    </row>
    <row r="96" spans="2:7" x14ac:dyDescent="0.25">
      <c r="B96" s="31" t="s">
        <v>1</v>
      </c>
      <c r="C96" s="16"/>
      <c r="D96" s="16"/>
      <c r="E96" s="16">
        <v>5000</v>
      </c>
      <c r="F96" s="16">
        <v>50000</v>
      </c>
      <c r="G96" s="16">
        <f t="shared" ref="G96:G101" si="2">F96-C96-D96-E96</f>
        <v>45000</v>
      </c>
    </row>
    <row r="97" spans="2:7" x14ac:dyDescent="0.25">
      <c r="B97" s="31" t="s">
        <v>2</v>
      </c>
      <c r="C97" s="16"/>
      <c r="D97" s="16"/>
      <c r="E97" s="16">
        <v>17500</v>
      </c>
      <c r="F97" s="16">
        <v>175000</v>
      </c>
      <c r="G97" s="16">
        <f t="shared" si="2"/>
        <v>157500</v>
      </c>
    </row>
    <row r="98" spans="2:7" x14ac:dyDescent="0.25">
      <c r="B98" s="31" t="s">
        <v>3</v>
      </c>
      <c r="C98" s="16">
        <v>3500</v>
      </c>
      <c r="D98" s="16">
        <v>17500</v>
      </c>
      <c r="E98" s="16">
        <v>15400</v>
      </c>
      <c r="F98" s="16">
        <v>175000</v>
      </c>
      <c r="G98" s="16">
        <f t="shared" si="2"/>
        <v>138600</v>
      </c>
    </row>
    <row r="99" spans="2:7" x14ac:dyDescent="0.25">
      <c r="B99" s="31" t="s">
        <v>4</v>
      </c>
      <c r="C99" s="16">
        <v>2800</v>
      </c>
      <c r="D99" s="16">
        <v>14000</v>
      </c>
      <c r="E99" s="16">
        <v>12320</v>
      </c>
      <c r="F99" s="16">
        <v>140000</v>
      </c>
      <c r="G99" s="16">
        <f t="shared" si="2"/>
        <v>110880</v>
      </c>
    </row>
    <row r="100" spans="2:7" x14ac:dyDescent="0.25">
      <c r="B100" s="31" t="s">
        <v>5</v>
      </c>
      <c r="C100" s="16">
        <v>2800</v>
      </c>
      <c r="D100" s="16">
        <v>14000</v>
      </c>
      <c r="E100" s="16">
        <v>12320</v>
      </c>
      <c r="F100" s="16">
        <v>140000</v>
      </c>
      <c r="G100" s="16">
        <f t="shared" si="2"/>
        <v>110880</v>
      </c>
    </row>
    <row r="101" spans="2:7" x14ac:dyDescent="0.25">
      <c r="B101" s="31" t="s">
        <v>59</v>
      </c>
      <c r="C101" s="16">
        <v>2600</v>
      </c>
      <c r="D101" s="16">
        <v>13000</v>
      </c>
      <c r="E101" s="16">
        <v>11440</v>
      </c>
      <c r="F101" s="16">
        <v>130000</v>
      </c>
      <c r="G101" s="16">
        <f t="shared" si="2"/>
        <v>102960</v>
      </c>
    </row>
    <row r="102" spans="2:7" x14ac:dyDescent="0.25">
      <c r="B102" s="32" t="s">
        <v>47</v>
      </c>
      <c r="C102" s="13">
        <f>SUM(C95:C101)</f>
        <v>11700</v>
      </c>
      <c r="D102" s="13">
        <f>SUM(D95:D101)</f>
        <v>58500</v>
      </c>
      <c r="E102" s="13">
        <f>SUM(E95:E101)</f>
        <v>101397</v>
      </c>
      <c r="F102" s="13">
        <f>SUM(F95:F101)</f>
        <v>1084170</v>
      </c>
      <c r="G102" s="13">
        <f>SUM(G95:G101)</f>
        <v>912573</v>
      </c>
    </row>
    <row r="103" spans="2:7" x14ac:dyDescent="0.25">
      <c r="B103" s="32"/>
      <c r="C103" s="40" t="s">
        <v>13</v>
      </c>
      <c r="D103" s="40" t="s">
        <v>14</v>
      </c>
      <c r="E103" s="40" t="s">
        <v>15</v>
      </c>
      <c r="F103" s="40" t="s">
        <v>16</v>
      </c>
      <c r="G103" s="42" t="s">
        <v>17</v>
      </c>
    </row>
    <row r="104" spans="2:7" x14ac:dyDescent="0.25">
      <c r="B104" s="33" t="s">
        <v>76</v>
      </c>
      <c r="C104" s="41"/>
      <c r="D104" s="41"/>
      <c r="E104" s="41"/>
      <c r="F104" s="41"/>
      <c r="G104" s="43"/>
    </row>
    <row r="105" spans="2:7" x14ac:dyDescent="0.25">
      <c r="B105" s="31" t="s">
        <v>0</v>
      </c>
      <c r="C105" s="16"/>
      <c r="D105" s="16"/>
      <c r="E105" s="16">
        <v>27417</v>
      </c>
      <c r="F105" s="16">
        <v>274170</v>
      </c>
      <c r="G105" s="16">
        <f>F105-C105-D105-E105</f>
        <v>246753</v>
      </c>
    </row>
    <row r="106" spans="2:7" x14ac:dyDescent="0.25">
      <c r="B106" s="31" t="s">
        <v>1</v>
      </c>
      <c r="C106" s="16"/>
      <c r="D106" s="16"/>
      <c r="E106" s="16">
        <v>5000</v>
      </c>
      <c r="F106" s="16">
        <v>50000</v>
      </c>
      <c r="G106" s="16">
        <f t="shared" ref="G106:G111" si="3">F106-C106-D106-E106</f>
        <v>45000</v>
      </c>
    </row>
    <row r="107" spans="2:7" x14ac:dyDescent="0.25">
      <c r="B107" s="31" t="s">
        <v>2</v>
      </c>
      <c r="C107" s="16"/>
      <c r="D107" s="16"/>
      <c r="E107" s="16">
        <v>17500</v>
      </c>
      <c r="F107" s="16">
        <v>175000</v>
      </c>
      <c r="G107" s="16">
        <f t="shared" si="3"/>
        <v>157500</v>
      </c>
    </row>
    <row r="108" spans="2:7" x14ac:dyDescent="0.25">
      <c r="B108" s="31" t="s">
        <v>3</v>
      </c>
      <c r="C108" s="16">
        <v>3500</v>
      </c>
      <c r="D108" s="16">
        <v>17500</v>
      </c>
      <c r="E108" s="16">
        <v>15400</v>
      </c>
      <c r="F108" s="16">
        <v>175000</v>
      </c>
      <c r="G108" s="16">
        <f t="shared" si="3"/>
        <v>138600</v>
      </c>
    </row>
    <row r="109" spans="2:7" x14ac:dyDescent="0.25">
      <c r="B109" s="31" t="s">
        <v>4</v>
      </c>
      <c r="C109" s="16">
        <v>2800</v>
      </c>
      <c r="D109" s="16">
        <v>14000</v>
      </c>
      <c r="E109" s="16">
        <v>12320</v>
      </c>
      <c r="F109" s="16">
        <v>140000</v>
      </c>
      <c r="G109" s="16">
        <f t="shared" si="3"/>
        <v>110880</v>
      </c>
    </row>
    <row r="110" spans="2:7" x14ac:dyDescent="0.25">
      <c r="B110" s="31" t="s">
        <v>5</v>
      </c>
      <c r="C110" s="16">
        <v>2800</v>
      </c>
      <c r="D110" s="16">
        <v>14000</v>
      </c>
      <c r="E110" s="16">
        <v>12320</v>
      </c>
      <c r="F110" s="16">
        <v>140000</v>
      </c>
      <c r="G110" s="16">
        <f t="shared" si="3"/>
        <v>110880</v>
      </c>
    </row>
    <row r="111" spans="2:7" x14ac:dyDescent="0.25">
      <c r="B111" s="31" t="s">
        <v>59</v>
      </c>
      <c r="C111" s="16">
        <v>2600</v>
      </c>
      <c r="D111" s="16">
        <v>13000</v>
      </c>
      <c r="E111" s="16">
        <v>11440</v>
      </c>
      <c r="F111" s="16">
        <v>130000</v>
      </c>
      <c r="G111" s="16">
        <f t="shared" si="3"/>
        <v>102960</v>
      </c>
    </row>
    <row r="112" spans="2:7" x14ac:dyDescent="0.25">
      <c r="B112" s="32" t="s">
        <v>47</v>
      </c>
      <c r="C112" s="13">
        <f>SUM(C105:C111)</f>
        <v>11700</v>
      </c>
      <c r="D112" s="13">
        <f>SUM(D105:D111)</f>
        <v>58500</v>
      </c>
      <c r="E112" s="13">
        <f>SUM(E105:E111)</f>
        <v>101397</v>
      </c>
      <c r="F112" s="13">
        <f>SUM(F105:F111)</f>
        <v>1084170</v>
      </c>
      <c r="G112" s="13">
        <f>SUM(G105:G111)</f>
        <v>912573</v>
      </c>
    </row>
    <row r="113" spans="2:7" x14ac:dyDescent="0.25">
      <c r="B113" s="32"/>
      <c r="C113" s="40" t="s">
        <v>13</v>
      </c>
      <c r="D113" s="40" t="s">
        <v>14</v>
      </c>
      <c r="E113" s="40" t="s">
        <v>15</v>
      </c>
      <c r="F113" s="40" t="s">
        <v>16</v>
      </c>
      <c r="G113" s="42" t="s">
        <v>17</v>
      </c>
    </row>
    <row r="114" spans="2:7" x14ac:dyDescent="0.25">
      <c r="B114" s="33" t="s">
        <v>77</v>
      </c>
      <c r="C114" s="41"/>
      <c r="D114" s="41"/>
      <c r="E114" s="41"/>
      <c r="F114" s="41"/>
      <c r="G114" s="43"/>
    </row>
    <row r="115" spans="2:7" x14ac:dyDescent="0.25">
      <c r="B115" s="31" t="s">
        <v>0</v>
      </c>
      <c r="C115" s="16"/>
      <c r="D115" s="16"/>
      <c r="E115" s="16">
        <v>27417</v>
      </c>
      <c r="F115" s="16">
        <v>274170</v>
      </c>
      <c r="G115" s="16">
        <f>F115-C115-D115-E115</f>
        <v>246753</v>
      </c>
    </row>
    <row r="116" spans="2:7" x14ac:dyDescent="0.25">
      <c r="B116" s="31" t="s">
        <v>1</v>
      </c>
      <c r="C116" s="16"/>
      <c r="D116" s="16"/>
      <c r="E116" s="16">
        <v>5000</v>
      </c>
      <c r="F116" s="16">
        <v>50000</v>
      </c>
      <c r="G116" s="16">
        <f t="shared" ref="G116:G121" si="4">F116-C116-D116-E116</f>
        <v>45000</v>
      </c>
    </row>
    <row r="117" spans="2:7" x14ac:dyDescent="0.25">
      <c r="B117" s="31" t="s">
        <v>2</v>
      </c>
      <c r="C117" s="16"/>
      <c r="D117" s="16"/>
      <c r="E117" s="16">
        <v>17500</v>
      </c>
      <c r="F117" s="16">
        <v>175000</v>
      </c>
      <c r="G117" s="16">
        <f t="shared" si="4"/>
        <v>157500</v>
      </c>
    </row>
    <row r="118" spans="2:7" x14ac:dyDescent="0.25">
      <c r="B118" s="31" t="s">
        <v>3</v>
      </c>
      <c r="C118" s="16">
        <v>3500</v>
      </c>
      <c r="D118" s="16">
        <v>17500</v>
      </c>
      <c r="E118" s="16">
        <v>15400</v>
      </c>
      <c r="F118" s="16">
        <v>175000</v>
      </c>
      <c r="G118" s="16">
        <f t="shared" si="4"/>
        <v>138600</v>
      </c>
    </row>
    <row r="119" spans="2:7" x14ac:dyDescent="0.25">
      <c r="B119" s="31" t="s">
        <v>4</v>
      </c>
      <c r="C119" s="16">
        <v>2800</v>
      </c>
      <c r="D119" s="16">
        <v>14000</v>
      </c>
      <c r="E119" s="16">
        <v>12320</v>
      </c>
      <c r="F119" s="16">
        <v>140000</v>
      </c>
      <c r="G119" s="16">
        <f t="shared" si="4"/>
        <v>110880</v>
      </c>
    </row>
    <row r="120" spans="2:7" x14ac:dyDescent="0.25">
      <c r="B120" s="31" t="s">
        <v>5</v>
      </c>
      <c r="C120" s="16">
        <v>2800</v>
      </c>
      <c r="D120" s="16">
        <v>14000</v>
      </c>
      <c r="E120" s="16">
        <v>12320</v>
      </c>
      <c r="F120" s="16">
        <v>140000</v>
      </c>
      <c r="G120" s="16">
        <f t="shared" si="4"/>
        <v>110880</v>
      </c>
    </row>
    <row r="121" spans="2:7" x14ac:dyDescent="0.25">
      <c r="B121" s="31" t="s">
        <v>59</v>
      </c>
      <c r="C121" s="16">
        <v>2600</v>
      </c>
      <c r="D121" s="16">
        <v>13000</v>
      </c>
      <c r="E121" s="16">
        <v>11440</v>
      </c>
      <c r="F121" s="16">
        <v>130000</v>
      </c>
      <c r="G121" s="16">
        <f t="shared" si="4"/>
        <v>102960</v>
      </c>
    </row>
    <row r="122" spans="2:7" x14ac:dyDescent="0.25">
      <c r="B122" s="32" t="s">
        <v>47</v>
      </c>
      <c r="C122" s="13">
        <f>SUM(C115:C121)</f>
        <v>11700</v>
      </c>
      <c r="D122" s="13">
        <f>SUM(D115:D121)</f>
        <v>58500</v>
      </c>
      <c r="E122" s="13">
        <f>SUM(E115:E121)</f>
        <v>101397</v>
      </c>
      <c r="F122" s="13">
        <f>SUM(F115:F121)</f>
        <v>1084170</v>
      </c>
      <c r="G122" s="13">
        <f>SUM(G115:G121)</f>
        <v>912573</v>
      </c>
    </row>
    <row r="123" spans="2:7" x14ac:dyDescent="0.25">
      <c r="B123" s="32"/>
      <c r="C123" s="40" t="s">
        <v>13</v>
      </c>
      <c r="D123" s="40" t="s">
        <v>14</v>
      </c>
      <c r="E123" s="40" t="s">
        <v>15</v>
      </c>
      <c r="F123" s="40" t="s">
        <v>16</v>
      </c>
      <c r="G123" s="42" t="s">
        <v>17</v>
      </c>
    </row>
    <row r="124" spans="2:7" x14ac:dyDescent="0.25">
      <c r="B124" s="33" t="s">
        <v>78</v>
      </c>
      <c r="C124" s="41"/>
      <c r="D124" s="41"/>
      <c r="E124" s="41"/>
      <c r="F124" s="41"/>
      <c r="G124" s="43"/>
    </row>
    <row r="125" spans="2:7" x14ac:dyDescent="0.25">
      <c r="B125" s="31" t="s">
        <v>0</v>
      </c>
      <c r="C125" s="16"/>
      <c r="D125" s="16"/>
      <c r="E125" s="16">
        <v>27417</v>
      </c>
      <c r="F125" s="16">
        <v>274170</v>
      </c>
      <c r="G125" s="16">
        <f>F125-C125-D125-E125</f>
        <v>246753</v>
      </c>
    </row>
    <row r="126" spans="2:7" x14ac:dyDescent="0.25">
      <c r="B126" s="31" t="s">
        <v>1</v>
      </c>
      <c r="C126" s="16"/>
      <c r="D126" s="16"/>
      <c r="E126" s="16">
        <v>5000</v>
      </c>
      <c r="F126" s="16">
        <v>50000</v>
      </c>
      <c r="G126" s="16">
        <f t="shared" ref="G126:G131" si="5">F126-C126-D126-E126</f>
        <v>45000</v>
      </c>
    </row>
    <row r="127" spans="2:7" x14ac:dyDescent="0.25">
      <c r="B127" s="31" t="s">
        <v>2</v>
      </c>
      <c r="C127" s="16"/>
      <c r="D127" s="16"/>
      <c r="E127" s="16">
        <v>17500</v>
      </c>
      <c r="F127" s="16">
        <v>175000</v>
      </c>
      <c r="G127" s="16">
        <f t="shared" si="5"/>
        <v>157500</v>
      </c>
    </row>
    <row r="128" spans="2:7" x14ac:dyDescent="0.25">
      <c r="B128" s="31" t="s">
        <v>3</v>
      </c>
      <c r="C128" s="16">
        <v>3500</v>
      </c>
      <c r="D128" s="16">
        <v>17500</v>
      </c>
      <c r="E128" s="16">
        <v>15400</v>
      </c>
      <c r="F128" s="16">
        <v>175000</v>
      </c>
      <c r="G128" s="16">
        <f t="shared" si="5"/>
        <v>138600</v>
      </c>
    </row>
    <row r="129" spans="2:7" x14ac:dyDescent="0.25">
      <c r="B129" s="31" t="s">
        <v>4</v>
      </c>
      <c r="C129" s="16">
        <v>2800</v>
      </c>
      <c r="D129" s="16">
        <v>14000</v>
      </c>
      <c r="E129" s="16">
        <v>12320</v>
      </c>
      <c r="F129" s="16">
        <v>140000</v>
      </c>
      <c r="G129" s="16">
        <f t="shared" si="5"/>
        <v>110880</v>
      </c>
    </row>
    <row r="130" spans="2:7" x14ac:dyDescent="0.25">
      <c r="B130" s="31" t="s">
        <v>5</v>
      </c>
      <c r="C130" s="16">
        <v>2800</v>
      </c>
      <c r="D130" s="16">
        <v>14000</v>
      </c>
      <c r="E130" s="16">
        <v>12320</v>
      </c>
      <c r="F130" s="16">
        <v>140000</v>
      </c>
      <c r="G130" s="16">
        <f t="shared" si="5"/>
        <v>110880</v>
      </c>
    </row>
    <row r="131" spans="2:7" x14ac:dyDescent="0.25">
      <c r="B131" s="31" t="s">
        <v>59</v>
      </c>
      <c r="C131" s="16">
        <v>2600</v>
      </c>
      <c r="D131" s="16">
        <v>13000</v>
      </c>
      <c r="E131" s="16">
        <v>11440</v>
      </c>
      <c r="F131" s="16">
        <v>130000</v>
      </c>
      <c r="G131" s="16">
        <f t="shared" si="5"/>
        <v>102960</v>
      </c>
    </row>
    <row r="132" spans="2:7" x14ac:dyDescent="0.25">
      <c r="B132" s="32" t="s">
        <v>47</v>
      </c>
      <c r="C132" s="13">
        <f>SUM(C125:C131)</f>
        <v>11700</v>
      </c>
      <c r="D132" s="13">
        <f>SUM(D125:D131)</f>
        <v>58500</v>
      </c>
      <c r="E132" s="13">
        <f>SUM(E125:E131)</f>
        <v>101397</v>
      </c>
      <c r="F132" s="13">
        <f>SUM(F125:F131)</f>
        <v>1084170</v>
      </c>
      <c r="G132" s="13">
        <f>SUM(G125:G131)</f>
        <v>912573</v>
      </c>
    </row>
    <row r="134" spans="2:7" x14ac:dyDescent="0.25">
      <c r="F134" s="24">
        <f>F12+F24+F36+F48+F60+F72+F82+F92+F102+F112+F122+F132</f>
        <v>13010082</v>
      </c>
    </row>
    <row r="135" spans="2:7" x14ac:dyDescent="0.25">
      <c r="B135" t="s">
        <v>53</v>
      </c>
      <c r="C135" s="24">
        <v>11797015.5</v>
      </c>
      <c r="D135" t="s">
        <v>54</v>
      </c>
    </row>
    <row r="136" spans="2:7" x14ac:dyDescent="0.25">
      <c r="B136" t="s">
        <v>53</v>
      </c>
      <c r="C136" s="24">
        <v>9437612.4000000004</v>
      </c>
    </row>
    <row r="137" spans="2:7" x14ac:dyDescent="0.25">
      <c r="C137" s="26">
        <f>SUM(C135:C136)</f>
        <v>21234627.899999999</v>
      </c>
      <c r="D137" s="26">
        <f>F134+C156</f>
        <v>21565350</v>
      </c>
      <c r="E137" s="26">
        <f>C137-D137</f>
        <v>-330722.10000000149</v>
      </c>
    </row>
    <row r="139" spans="2:7" x14ac:dyDescent="0.25">
      <c r="B139" t="s">
        <v>62</v>
      </c>
      <c r="C139">
        <v>346800</v>
      </c>
      <c r="D139" t="s">
        <v>63</v>
      </c>
    </row>
    <row r="140" spans="2:7" x14ac:dyDescent="0.25">
      <c r="B140" t="s">
        <v>0</v>
      </c>
      <c r="C140">
        <v>305000</v>
      </c>
      <c r="D140" t="s">
        <v>64</v>
      </c>
    </row>
    <row r="141" spans="2:7" x14ac:dyDescent="0.25">
      <c r="B141" t="s">
        <v>3</v>
      </c>
      <c r="C141">
        <v>305000</v>
      </c>
      <c r="D141" t="s">
        <v>65</v>
      </c>
    </row>
    <row r="142" spans="2:7" x14ac:dyDescent="0.25">
      <c r="B142" t="s">
        <v>3</v>
      </c>
      <c r="C142">
        <v>420000</v>
      </c>
      <c r="D142" t="s">
        <v>66</v>
      </c>
    </row>
    <row r="143" spans="2:7" x14ac:dyDescent="0.25">
      <c r="B143" t="s">
        <v>0</v>
      </c>
      <c r="C143">
        <v>183000</v>
      </c>
      <c r="D143" t="s">
        <v>64</v>
      </c>
    </row>
    <row r="144" spans="2:7" x14ac:dyDescent="0.25">
      <c r="B144" t="s">
        <v>3</v>
      </c>
      <c r="C144">
        <v>183000</v>
      </c>
      <c r="D144" t="s">
        <v>65</v>
      </c>
    </row>
    <row r="145" spans="2:4" x14ac:dyDescent="0.25">
      <c r="B145" t="s">
        <v>0</v>
      </c>
      <c r="C145">
        <v>52000</v>
      </c>
      <c r="D145" t="s">
        <v>64</v>
      </c>
    </row>
    <row r="146" spans="2:4" x14ac:dyDescent="0.25">
      <c r="B146" t="s">
        <v>3</v>
      </c>
      <c r="C146">
        <v>52000</v>
      </c>
      <c r="D146" t="s">
        <v>65</v>
      </c>
    </row>
    <row r="147" spans="2:4" x14ac:dyDescent="0.25">
      <c r="B147" t="s">
        <v>0</v>
      </c>
      <c r="C147">
        <v>1595314</v>
      </c>
      <c r="D147" t="s">
        <v>67</v>
      </c>
    </row>
    <row r="148" spans="2:4" x14ac:dyDescent="0.25">
      <c r="B148" t="s">
        <v>3</v>
      </c>
      <c r="C148">
        <v>1595314</v>
      </c>
      <c r="D148" t="s">
        <v>68</v>
      </c>
    </row>
    <row r="149" spans="2:4" x14ac:dyDescent="0.25">
      <c r="B149" t="s">
        <v>2</v>
      </c>
      <c r="C149">
        <v>1595314</v>
      </c>
      <c r="D149" t="s">
        <v>69</v>
      </c>
    </row>
    <row r="150" spans="2:4" x14ac:dyDescent="0.25">
      <c r="B150" t="s">
        <v>4</v>
      </c>
      <c r="C150">
        <v>775000</v>
      </c>
      <c r="D150" t="s">
        <v>70</v>
      </c>
    </row>
    <row r="151" spans="2:4" x14ac:dyDescent="0.25">
      <c r="B151" t="s">
        <v>4</v>
      </c>
      <c r="C151">
        <v>31526</v>
      </c>
      <c r="D151" t="s">
        <v>70</v>
      </c>
    </row>
    <row r="152" spans="2:4" x14ac:dyDescent="0.25">
      <c r="B152" t="s">
        <v>0</v>
      </c>
      <c r="C152">
        <v>30000</v>
      </c>
      <c r="D152" t="s">
        <v>71</v>
      </c>
    </row>
    <row r="153" spans="2:4" x14ac:dyDescent="0.25">
      <c r="B153" t="s">
        <v>73</v>
      </c>
      <c r="C153">
        <v>1001000</v>
      </c>
      <c r="D153" t="s">
        <v>72</v>
      </c>
    </row>
    <row r="154" spans="2:4" x14ac:dyDescent="0.25">
      <c r="B154" t="s">
        <v>0</v>
      </c>
      <c r="C154">
        <v>40000</v>
      </c>
      <c r="D154" t="s">
        <v>74</v>
      </c>
    </row>
    <row r="155" spans="2:4" x14ac:dyDescent="0.25">
      <c r="B155" t="s">
        <v>3</v>
      </c>
      <c r="C155">
        <v>45000</v>
      </c>
      <c r="D155" t="s">
        <v>75</v>
      </c>
    </row>
    <row r="156" spans="2:4" x14ac:dyDescent="0.25">
      <c r="C156" s="24">
        <f>SUM(C139:C155)</f>
        <v>8555268</v>
      </c>
    </row>
  </sheetData>
  <mergeCells count="60">
    <mergeCell ref="C93:C94"/>
    <mergeCell ref="D93:D94"/>
    <mergeCell ref="E93:E94"/>
    <mergeCell ref="F93:F94"/>
    <mergeCell ref="G93:G94"/>
    <mergeCell ref="G83:G84"/>
    <mergeCell ref="F83:F84"/>
    <mergeCell ref="E83:E84"/>
    <mergeCell ref="D83:D84"/>
    <mergeCell ref="C83:C84"/>
    <mergeCell ref="C73:C74"/>
    <mergeCell ref="D73:D74"/>
    <mergeCell ref="E73:E74"/>
    <mergeCell ref="F73:F74"/>
    <mergeCell ref="G73:G74"/>
    <mergeCell ref="C61:C62"/>
    <mergeCell ref="D61:D62"/>
    <mergeCell ref="E61:E62"/>
    <mergeCell ref="F61:F62"/>
    <mergeCell ref="G61:G62"/>
    <mergeCell ref="C49:C50"/>
    <mergeCell ref="D49:D50"/>
    <mergeCell ref="E49:E50"/>
    <mergeCell ref="F49:F50"/>
    <mergeCell ref="G49:G50"/>
    <mergeCell ref="C25:C26"/>
    <mergeCell ref="D25:D26"/>
    <mergeCell ref="E25:E26"/>
    <mergeCell ref="F25:F26"/>
    <mergeCell ref="G25:G26"/>
    <mergeCell ref="C37:C38"/>
    <mergeCell ref="D37:D38"/>
    <mergeCell ref="E37:E38"/>
    <mergeCell ref="F37:F38"/>
    <mergeCell ref="G37:G38"/>
    <mergeCell ref="C1:C2"/>
    <mergeCell ref="D1:D2"/>
    <mergeCell ref="E1:E2"/>
    <mergeCell ref="F1:F2"/>
    <mergeCell ref="G1:G2"/>
    <mergeCell ref="C13:C14"/>
    <mergeCell ref="D13:D14"/>
    <mergeCell ref="E13:E14"/>
    <mergeCell ref="F13:F14"/>
    <mergeCell ref="G13:G14"/>
    <mergeCell ref="C103:C104"/>
    <mergeCell ref="D103:D104"/>
    <mergeCell ref="E103:E104"/>
    <mergeCell ref="F103:F104"/>
    <mergeCell ref="G103:G104"/>
    <mergeCell ref="C113:C114"/>
    <mergeCell ref="D113:D114"/>
    <mergeCell ref="E113:E114"/>
    <mergeCell ref="F113:F114"/>
    <mergeCell ref="G113:G114"/>
    <mergeCell ref="C123:C124"/>
    <mergeCell ref="D123:D124"/>
    <mergeCell ref="E123:E124"/>
    <mergeCell ref="F123:F124"/>
    <mergeCell ref="G123:G124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2023</vt:lpstr>
      <vt:lpstr>2024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2025-10-29T07:27:13Z</dcterms:modified>
</cp:coreProperties>
</file>